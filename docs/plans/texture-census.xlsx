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Log" sheetId="2" state="visible" r:id="rId4"/>
    <sheet name="Summary" sheetId="3" state="visible" r:id="rId5"/>
    <sheet name="Tracks" sheetId="4" state="visible" r:id="rId6"/>
    <sheet name="Sections" sheetId="5" state="visible" r:id="rId7"/>
    <sheet name="Lists" sheetId="6" state="visible" r:id="rId8"/>
  </sheets>
  <definedNames>
    <definedName function="false" hidden="true" localSheetId="1" name="_xlnm._FilterDatabase" vbProcedure="false">Log!$A$1:$V$501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" authorId="0">
      <text>
        <r>
          <rPr>
            <sz val="10"/>
            <rFont val="Arial"/>
            <family val="2"/>
          </rPr>
          <t xml:space="preserve">Optional. If you know the bar, type it here and leave Min and Sec empty.</t>
        </r>
      </text>
    </comment>
    <comment ref="E1" authorId="0">
      <text>
        <r>
          <rPr>
            <sz val="10"/>
            <rFont val="Arial"/>
            <family val="2"/>
          </rPr>
          <t xml:space="preserve">How long it lasts, in seconds. Leave empty for a one-shot you can't time.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1" authorId="0">
      <text>
        <r>
          <rPr>
            <sz val="10"/>
            <rFont val="Arial"/>
            <family val="2"/>
          </rPr>
          <t xml:space="preserve">Seconds from the start of the file to the downbeat of bar 1. Bars are counted from here.</t>
        </r>
      </text>
    </comment>
  </commentList>
</comments>
</file>

<file path=xl/sharedStrings.xml><?xml version="1.0" encoding="utf-8"?>
<sst xmlns="http://schemas.openxmlformats.org/spreadsheetml/2006/main" count="307" uniqueCount="190">
  <si>
    <t xml:space="preserve">Texture census</t>
  </si>
  <si>
    <t xml:space="preserve">Log every background texture and FX sound in a handful of tracks, to find out how the era really used them.</t>
  </si>
  <si>
    <t xml:space="preserve">The Summary sheet turns the log into numbers: events per 8 bars by section, how many land on phrase lines, typical lengths, materials per genre.</t>
  </si>
  <si>
    <t xml:space="preserve">How to fill it in</t>
  </si>
  <si>
    <t xml:space="preserve">1. Tracks: one row per track. Enter its BPM and the time of its first downbeat (bar 1) in seconds, so bars compute from times.</t>
  </si>
  <si>
    <t xml:space="preserve">2. Sections: the section boundaries of each track, in bars (first and last bar). This is what turns counts into densities.</t>
  </si>
  <si>
    <t xml:space="preserve">3. Log: one row per texture event while you listen. Type the time from your player as minutes and seconds.</t>
  </si>
  <si>
    <t xml:space="preserve">   If you already know the bar, type it under Bar and leave the time empty.</t>
  </si>
  <si>
    <t xml:space="preserve">   Beds and motion: one row per stretch, with its length. Ear candy and punctuation: one row per occurrence.</t>
  </si>
  <si>
    <t xml:space="preserve">4. Leave the grey columns alone: they are formulas.</t>
  </si>
  <si>
    <t xml:space="preserve">5. The blue EX rows are an example. The summary ignores them; delete them whenever you like.</t>
  </si>
  <si>
    <t xml:space="preserve">Legend</t>
  </si>
  <si>
    <t xml:space="preserve">Yellow header: you fill this in.   Grey header: computed.   Blue rows: example (track EX).</t>
  </si>
  <si>
    <t xml:space="preserve">What counts</t>
  </si>
  <si>
    <t xml:space="preserve">Anything heard as background or ornament rather than as the main parts (kick, bass, lead, pad, chords). A pad used as a bed counts.</t>
  </si>
  <si>
    <t xml:space="preserve">Not sure? Log it and say so in the Description.</t>
  </si>
  <si>
    <t xml:space="preserve">Roles</t>
  </si>
  <si>
    <t xml:space="preserve">Bed: long, quiet, continuous; fills intros, outros and breakdowns. Air, wind, rain, drones, a slowly sweeping pad.</t>
  </si>
  <si>
    <t xml:space="preserve">Motion: rhythmic texture with no melody, under the groove. S&amp;H bleeps, gated or filtered noise, random squelches.</t>
  </si>
  <si>
    <t xml:space="preserve">Transition: leads into or out of a phrase boundary, 1-16 bars. Risers, downlifters, reverse cymbals, tape stops, sub drops.</t>
  </si>
  <si>
    <t xml:space="preserve">Punctuation: a one-shot on a boundary. Crash, impact with a long tail, vocal shout.</t>
  </si>
  <si>
    <t xml:space="preserve">Ear candy: sparse, irregular ornaments. Lasers, zaps, FM blips, ring-mod hits, a delay-thrown vocal snippet.</t>
  </si>
  <si>
    <t xml:space="preserve">The other columns</t>
  </si>
  <si>
    <t xml:space="preserve">Material: Noise / Resonant (self-oscillating filter, sine with pitch envelope) / Inharmonic (ring mod, FM, metallic) / Tonal / Voice / Field (recordings) / Cymbal / Other.</t>
  </si>
  <si>
    <t xml:space="preserve">Movement: how it changes over its length. Up and Down are pitch or filter sweeps; Rhythmic is gated or pulsing.</t>
  </si>
  <si>
    <t xml:space="preserve">Space: what the effects do to it. Delay throw means the effect is most of the sound.</t>
  </si>
  <si>
    <t xml:space="preserve">Level: how far forward it sits in the mix.</t>
  </si>
  <si>
    <t xml:space="preserve">Variation: does it come back, and is it the same each time?</t>
  </si>
  <si>
    <t xml:space="preserve">Description and How it might be made: free text. Guesses are useful.</t>
  </si>
  <si>
    <t xml:space="preserve">Computed columns (Log)</t>
  </si>
  <si>
    <t xml:space="preserve">Start: position in bars from the first downbeat (0 = the downbeat of bar 1).  Bar, Beat: where it starts (beats to the nearest 16th).</t>
  </si>
  <si>
    <t xml:space="preserve">Length (bars): from Length (s) and the BPM.  Starts on / Ends on: 32, 16 or 8 when it starts or ends within a beat of that phrase line (the largest that fits), else blank.</t>
  </si>
  <si>
    <t xml:space="preserve">Time budget: about 20-30 minutes a track. Six to ten tracks is enough to see the pattern.</t>
  </si>
  <si>
    <t xml:space="preserve">Track</t>
  </si>
  <si>
    <t xml:space="preserve">Min</t>
  </si>
  <si>
    <t xml:space="preserve">Sec</t>
  </si>
  <si>
    <t xml:space="preserve">Bar</t>
  </si>
  <si>
    <t xml:space="preserve">Length (s)</t>
  </si>
  <si>
    <t xml:space="preserve">Section</t>
  </si>
  <si>
    <t xml:space="preserve">Role</t>
  </si>
  <si>
    <t xml:space="preserve">Material</t>
  </si>
  <si>
    <t xml:space="preserve">Movement</t>
  </si>
  <si>
    <t xml:space="preserve">Space</t>
  </si>
  <si>
    <t xml:space="preserve">Level</t>
  </si>
  <si>
    <t xml:space="preserve">Variation</t>
  </si>
  <si>
    <t xml:space="preserve">Description</t>
  </si>
  <si>
    <t xml:space="preserve">How it might be made</t>
  </si>
  <si>
    <t xml:space="preserve">Genre</t>
  </si>
  <si>
    <t xml:space="preserve">BPM</t>
  </si>
  <si>
    <t xml:space="preserve">Start (bars)</t>
  </si>
  <si>
    <t xml:space="preserve">Beat</t>
  </si>
  <si>
    <t xml:space="preserve">Length (bars)</t>
  </si>
  <si>
    <t xml:space="preserve">Starts on</t>
  </si>
  <si>
    <t xml:space="preserve">Ends on</t>
  </si>
  <si>
    <t xml:space="preserve">EX</t>
  </si>
  <si>
    <t xml:space="preserve">Intro</t>
  </si>
  <si>
    <t xml:space="preserve">Bed</t>
  </si>
  <si>
    <t xml:space="preserve">Noise</t>
  </si>
  <si>
    <t xml:space="preserve">Static</t>
  </si>
  <si>
    <t xml:space="preserve">Wide / panned</t>
  </si>
  <si>
    <t xml:space="preserve">Background</t>
  </si>
  <si>
    <t xml:space="preserve">Repeats same</t>
  </si>
  <si>
    <t xml:space="preserve">Filtered noise 'air' under the intro drums</t>
  </si>
  <si>
    <t xml:space="preserve">Pink noise, HP about 2 kHz, slow LFO on level</t>
  </si>
  <si>
    <t xml:space="preserve">Build</t>
  </si>
  <si>
    <t xml:space="preserve">Transition</t>
  </si>
  <si>
    <t xml:space="preserve">Up</t>
  </si>
  <si>
    <t xml:space="preserve">Reverb</t>
  </si>
  <si>
    <t xml:space="preserve">Mid</t>
  </si>
  <si>
    <t xml:space="preserve">One-off</t>
  </si>
  <si>
    <t xml:space="preserve">White-noise sweep up into the drop</t>
  </si>
  <si>
    <t xml:space="preserve">Noise into BP, cutoff ramp over 8 bars, long reverb</t>
  </si>
  <si>
    <t xml:space="preserve">Drop</t>
  </si>
  <si>
    <t xml:space="preserve">Ear candy</t>
  </si>
  <si>
    <t xml:space="preserve">Inharmonic</t>
  </si>
  <si>
    <t xml:space="preserve">Down</t>
  </si>
  <si>
    <t xml:space="preserve">Delay throw</t>
  </si>
  <si>
    <t xml:space="preserve">Repeats varied</t>
  </si>
  <si>
    <t xml:space="preserve">Ring-mod zap, panned left, different pitch each time</t>
  </si>
  <si>
    <t xml:space="preserve">Ring mod or FM, fast pitch drop, into the ping-pong</t>
  </si>
  <si>
    <t xml:space="preserve">Summary</t>
  </si>
  <si>
    <t xml:space="preserve">Everything here is computed from Log and Sections, and leaves out the example track (EX). Densities need the Sections sheet filled in.</t>
  </si>
  <si>
    <t xml:space="preserve">1. Events by role and genre</t>
  </si>
  <si>
    <t xml:space="preserve">Trance 96-99</t>
  </si>
  <si>
    <t xml:space="preserve">Prog house</t>
  </si>
  <si>
    <t xml:space="preserve">Goa</t>
  </si>
  <si>
    <t xml:space="preserve">Revival</t>
  </si>
  <si>
    <t xml:space="preserve">Prog breaks</t>
  </si>
  <si>
    <t xml:space="preserve">Other</t>
  </si>
  <si>
    <t xml:space="preserve">All</t>
  </si>
  <si>
    <t xml:space="preserve">Motion</t>
  </si>
  <si>
    <t xml:space="preserve">Punctuation</t>
  </si>
  <si>
    <t xml:space="preserve">Total</t>
  </si>
  <si>
    <t xml:space="preserve">2. Events per 8 bars, by role and section (all tracks)</t>
  </si>
  <si>
    <t xml:space="preserve">Breakdown</t>
  </si>
  <si>
    <t xml:space="preserve">Main</t>
  </si>
  <si>
    <t xml:space="preserve">Outro</t>
  </si>
  <si>
    <t xml:space="preserve">Interlude</t>
  </si>
  <si>
    <t xml:space="preserve">Bars logged</t>
  </si>
  <si>
    <t xml:space="preserve">3. Phrase lines and length, by role</t>
  </si>
  <si>
    <t xml:space="preserve">Events</t>
  </si>
  <si>
    <t xml:space="preserve">Start on a line</t>
  </si>
  <si>
    <t xml:space="preserve">Share</t>
  </si>
  <si>
    <t xml:space="preserve">End on a line</t>
  </si>
  <si>
    <t xml:space="preserve">Mean length (bars)</t>
  </si>
  <si>
    <t xml:space="preserve">A line is the start of an 8-, 16- or 32-bar phrase, within one beat. Transitions should mostly end on one; ear candy mostly shouldn't.</t>
  </si>
  <si>
    <t xml:space="preserve">4. Material by genre</t>
  </si>
  <si>
    <t xml:space="preserve">Resonant</t>
  </si>
  <si>
    <t xml:space="preserve">Tonal</t>
  </si>
  <si>
    <t xml:space="preserve">Voice</t>
  </si>
  <si>
    <t xml:space="preserve">Field</t>
  </si>
  <si>
    <t xml:space="preserve">Cymbal</t>
  </si>
  <si>
    <t xml:space="preserve">5. Space by role</t>
  </si>
  <si>
    <t xml:space="preserve">Dry</t>
  </si>
  <si>
    <t xml:space="preserve">Reverb + delay</t>
  </si>
  <si>
    <t xml:space="preserve">Autopan</t>
  </si>
  <si>
    <t xml:space="preserve">ID</t>
  </si>
  <si>
    <t xml:space="preserve">Artist</t>
  </si>
  <si>
    <t xml:space="preserve">Title</t>
  </si>
  <si>
    <t xml:space="preserve">Year</t>
  </si>
  <si>
    <t xml:space="preserve">First downbeat (s)</t>
  </si>
  <si>
    <t xml:space="preserve">Version / source</t>
  </si>
  <si>
    <t xml:space="preserve">Notes</t>
  </si>
  <si>
    <t xml:space="preserve">Example</t>
  </si>
  <si>
    <t xml:space="preserve">Delete me when you start</t>
  </si>
  <si>
    <t xml:space="preserve">Used by the example rows; the summary ignores it.</t>
  </si>
  <si>
    <t xml:space="preserve">T1</t>
  </si>
  <si>
    <t xml:space="preserve">Cass &amp; Slide</t>
  </si>
  <si>
    <t xml:space="preserve">Perception</t>
  </si>
  <si>
    <t xml:space="preserve">Tempo not confirmed: tap it.</t>
  </si>
  <si>
    <t xml:space="preserve">T2</t>
  </si>
  <si>
    <t xml:space="preserve">Taucher</t>
  </si>
  <si>
    <t xml:space="preserve">Waters</t>
  </si>
  <si>
    <t xml:space="preserve">Which mix? (Phase III is 8:10)</t>
  </si>
  <si>
    <t xml:space="preserve">T3</t>
  </si>
  <si>
    <t xml:space="preserve">Bedrock</t>
  </si>
  <si>
    <t xml:space="preserve">Set in Stone</t>
  </si>
  <si>
    <t xml:space="preserve">Original, 11:04</t>
  </si>
  <si>
    <t xml:space="preserve">One upload says 122 BPM, the era norm is 125-130: check.</t>
  </si>
  <si>
    <t xml:space="preserve">T4</t>
  </si>
  <si>
    <t xml:space="preserve">Oprofessionell</t>
  </si>
  <si>
    <t xml:space="preserve">Gen Z</t>
  </si>
  <si>
    <t xml:space="preserve">Ute.Rec UTE008</t>
  </si>
  <si>
    <t xml:space="preserve">BPM from decks.de; check against the track.</t>
  </si>
  <si>
    <t xml:space="preserve">T5</t>
  </si>
  <si>
    <t xml:space="preserve">T.G.ViRUS</t>
  </si>
  <si>
    <t xml:space="preserve">KiloMix '98</t>
  </si>
  <si>
    <t xml:space="preserve">ReBirth 2.0 demo song</t>
  </si>
  <si>
    <t xml:space="preserve">Tempo and length from the .rbs file. Expect almost no textures: a baseline.</t>
  </si>
  <si>
    <t xml:space="preserve">T6</t>
  </si>
  <si>
    <t xml:space="preserve">T7</t>
  </si>
  <si>
    <t xml:space="preserve">T8</t>
  </si>
  <si>
    <t xml:space="preserve">T9</t>
  </si>
  <si>
    <t xml:space="preserve">T10</t>
  </si>
  <si>
    <t xml:space="preserve">T11</t>
  </si>
  <si>
    <t xml:space="preserve">T12</t>
  </si>
  <si>
    <t xml:space="preserve">T13</t>
  </si>
  <si>
    <t xml:space="preserve">T14</t>
  </si>
  <si>
    <t xml:space="preserve">T15</t>
  </si>
  <si>
    <t xml:space="preserve">T16</t>
  </si>
  <si>
    <t xml:space="preserve">T17</t>
  </si>
  <si>
    <t xml:space="preserve">T18</t>
  </si>
  <si>
    <t xml:space="preserve">T19</t>
  </si>
  <si>
    <t xml:space="preserve">T20</t>
  </si>
  <si>
    <t xml:space="preserve">T21</t>
  </si>
  <si>
    <t xml:space="preserve">T22</t>
  </si>
  <si>
    <t xml:space="preserve">T23</t>
  </si>
  <si>
    <t xml:space="preserve">T24</t>
  </si>
  <si>
    <t xml:space="preserve">T25</t>
  </si>
  <si>
    <t xml:space="preserve">T26</t>
  </si>
  <si>
    <t xml:space="preserve">T27</t>
  </si>
  <si>
    <t xml:space="preserve">T28</t>
  </si>
  <si>
    <t xml:space="preserve">T29</t>
  </si>
  <si>
    <t xml:space="preserve">T30</t>
  </si>
  <si>
    <t xml:space="preserve">T31</t>
  </si>
  <si>
    <t xml:space="preserve">T32</t>
  </si>
  <si>
    <t xml:space="preserve">T33</t>
  </si>
  <si>
    <t xml:space="preserve">T34</t>
  </si>
  <si>
    <t xml:space="preserve">T35</t>
  </si>
  <si>
    <t xml:space="preserve">T36</t>
  </si>
  <si>
    <t xml:space="preserve">T37</t>
  </si>
  <si>
    <t xml:space="preserve">T38</t>
  </si>
  <si>
    <t xml:space="preserve">T39</t>
  </si>
  <si>
    <t xml:space="preserve">First bar</t>
  </si>
  <si>
    <t xml:space="preserve">Last bar</t>
  </si>
  <si>
    <t xml:space="preserve">Bars</t>
  </si>
  <si>
    <t xml:space="preserve">Foreground</t>
  </si>
  <si>
    <t xml:space="preserve">Up-down</t>
  </si>
  <si>
    <t xml:space="preserve">Random</t>
  </si>
  <si>
    <t xml:space="preserve">Rhythmic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</si>
</sst>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0.0"/>
    <numFmt numFmtId="167" formatCode="0%"/>
    <numFmt numFmtId="168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2"/>
    </font>
    <font>
      <sz val="10"/>
      <color rgb="FF59595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5F5F5"/>
      </patternFill>
    </fill>
    <fill>
      <patternFill patternType="solid">
        <fgColor rgb="FFE7E6E6"/>
        <bgColor rgb="FFDDEBF7"/>
      </patternFill>
    </fill>
    <fill>
      <patternFill patternType="solid">
        <fgColor rgb="FFDDEBF7"/>
        <bgColor rgb="FFE7E6E6"/>
      </patternFill>
    </fill>
    <fill>
      <patternFill patternType="solid">
        <fgColor rgb="FFF5F5F5"/>
        <bgColor rgb="FFE7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DDEBF7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F5F5F5"/>
          <bgColor rgb="FF000000"/>
        </patternFill>
      </fill>
    </dxf>
  </dxfs>
  <colors>
    <indexedColors>
      <rgbColor rgb="FF000000"/>
      <rgbColor rgb="FFF5F5F5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 t="s">
        <v>8</v>
      </c>
    </row>
    <row r="11" customFormat="false" ht="15" hidden="false" customHeight="false" outlineLevel="0" collapsed="false">
      <c r="A11" s="2" t="s">
        <v>9</v>
      </c>
    </row>
    <row r="12" customFormat="false" ht="15" hidden="false" customHeight="false" outlineLevel="0" collapsed="false">
      <c r="A12" s="2" t="s">
        <v>10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3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/>
    </row>
    <row r="21" customFormat="false" ht="15" hidden="false" customHeight="false" outlineLevel="0" collapsed="false">
      <c r="A21" s="3" t="s">
        <v>16</v>
      </c>
    </row>
    <row r="22" customFormat="false" ht="15" hidden="false" customHeight="false" outlineLevel="0" collapsed="false">
      <c r="A22" s="2" t="s">
        <v>17</v>
      </c>
    </row>
    <row r="23" customFormat="false" ht="15" hidden="false" customHeight="false" outlineLevel="0" collapsed="false">
      <c r="A23" s="2" t="s">
        <v>18</v>
      </c>
    </row>
    <row r="24" customFormat="false" ht="15" hidden="false" customHeight="false" outlineLevel="0" collapsed="false">
      <c r="A24" s="2" t="s">
        <v>19</v>
      </c>
    </row>
    <row r="25" customFormat="false" ht="15" hidden="false" customHeight="false" outlineLevel="0" collapsed="false">
      <c r="A25" s="2" t="s">
        <v>20</v>
      </c>
    </row>
    <row r="26" customFormat="false" ht="15" hidden="false" customHeight="false" outlineLevel="0" collapsed="false">
      <c r="A26" s="2" t="s">
        <v>21</v>
      </c>
    </row>
    <row r="27" customFormat="false" ht="15" hidden="false" customHeight="false" outlineLevel="0" collapsed="false">
      <c r="A27" s="2"/>
    </row>
    <row r="28" customFormat="false" ht="15" hidden="false" customHeight="false" outlineLevel="0" collapsed="false">
      <c r="A28" s="3" t="s">
        <v>22</v>
      </c>
    </row>
    <row r="29" customFormat="false" ht="15" hidden="false" customHeight="false" outlineLevel="0" collapsed="false">
      <c r="A29" s="2" t="s">
        <v>23</v>
      </c>
    </row>
    <row r="30" customFormat="false" ht="15" hidden="false" customHeight="false" outlineLevel="0" collapsed="false">
      <c r="A30" s="2" t="s">
        <v>24</v>
      </c>
    </row>
    <row r="31" customFormat="false" ht="15" hidden="false" customHeight="false" outlineLevel="0" collapsed="false">
      <c r="A31" s="2" t="s">
        <v>25</v>
      </c>
    </row>
    <row r="32" customFormat="false" ht="15" hidden="false" customHeight="false" outlineLevel="0" collapsed="false">
      <c r="A32" s="2" t="s">
        <v>26</v>
      </c>
    </row>
    <row r="33" customFormat="false" ht="15" hidden="false" customHeight="false" outlineLevel="0" collapsed="false">
      <c r="A33" s="2" t="s">
        <v>27</v>
      </c>
    </row>
    <row r="34" customFormat="false" ht="15" hidden="false" customHeight="false" outlineLevel="0" collapsed="false">
      <c r="A34" s="2" t="s">
        <v>28</v>
      </c>
    </row>
    <row r="35" customFormat="false" ht="15" hidden="false" customHeight="false" outlineLevel="0" collapsed="false">
      <c r="A35" s="2"/>
    </row>
    <row r="36" customFormat="false" ht="15" hidden="false" customHeight="false" outlineLevel="0" collapsed="false">
      <c r="A36" s="3" t="s">
        <v>29</v>
      </c>
    </row>
    <row r="37" customFormat="false" ht="15" hidden="false" customHeight="false" outlineLevel="0" collapsed="false">
      <c r="A37" s="2" t="s">
        <v>30</v>
      </c>
    </row>
    <row r="38" customFormat="false" ht="15" hidden="false" customHeight="false" outlineLevel="0" collapsed="false">
      <c r="A38" s="2" t="s">
        <v>31</v>
      </c>
    </row>
    <row r="39" customFormat="false" ht="15" hidden="false" customHeight="false" outlineLevel="0" collapsed="false">
      <c r="A39" s="2"/>
    </row>
    <row r="40" customFormat="false" ht="15" hidden="false" customHeight="false" outlineLevel="0" collapsed="false">
      <c r="A40" s="2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"/>
    <col collapsed="false" customWidth="true" hidden="false" outlineLevel="0" max="4" min="3" style="0" width="6"/>
    <col collapsed="false" customWidth="true" hidden="false" outlineLevel="0" max="5" min="5" style="0" width="9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10"/>
    <col collapsed="false" customWidth="true" hidden="false" outlineLevel="0" max="10" min="10" style="0" width="14"/>
    <col collapsed="false" customWidth="true" hidden="false" outlineLevel="0" max="11" min="11" style="0" width="11"/>
    <col collapsed="false" customWidth="true" hidden="false" outlineLevel="0" max="12" min="12" style="0" width="14"/>
    <col collapsed="false" customWidth="true" hidden="false" outlineLevel="0" max="14" min="13" style="0" width="44"/>
    <col collapsed="false" customWidth="true" hidden="false" outlineLevel="0" max="15" min="15" style="0" width="13"/>
    <col collapsed="false" customWidth="true" hidden="false" outlineLevel="0" max="16" min="16" style="0" width="6"/>
    <col collapsed="false" customWidth="true" hidden="false" outlineLevel="0" max="17" min="17" style="0" width="9"/>
    <col collapsed="false" customWidth="true" hidden="false" outlineLevel="0" max="19" min="18" style="0" width="6"/>
    <col collapsed="false" customWidth="true" hidden="false" outlineLevel="0" max="20" min="20" style="0" width="9"/>
    <col collapsed="false" customWidth="true" hidden="false" outlineLevel="0" max="22" min="21" style="0" width="8"/>
  </cols>
  <sheetData>
    <row r="1" customFormat="false" ht="35.05" hidden="false" customHeight="false" outlineLevel="0" collapsed="false">
      <c r="A1" s="4" t="s">
        <v>33</v>
      </c>
      <c r="B1" s="4" t="s">
        <v>34</v>
      </c>
      <c r="C1" s="4" t="s">
        <v>35</v>
      </c>
      <c r="D1" s="4" t="s">
        <v>36</v>
      </c>
      <c r="E1" s="4" t="s">
        <v>37</v>
      </c>
      <c r="F1" s="4" t="s">
        <v>38</v>
      </c>
      <c r="G1" s="4" t="s">
        <v>39</v>
      </c>
      <c r="H1" s="4" t="s">
        <v>40</v>
      </c>
      <c r="I1" s="4" t="s">
        <v>41</v>
      </c>
      <c r="J1" s="4" t="s">
        <v>42</v>
      </c>
      <c r="K1" s="4" t="s">
        <v>43</v>
      </c>
      <c r="L1" s="4" t="s">
        <v>44</v>
      </c>
      <c r="M1" s="4" t="s">
        <v>45</v>
      </c>
      <c r="N1" s="4" t="s">
        <v>46</v>
      </c>
      <c r="O1" s="5" t="s">
        <v>47</v>
      </c>
      <c r="P1" s="5" t="s">
        <v>48</v>
      </c>
      <c r="Q1" s="5" t="s">
        <v>49</v>
      </c>
      <c r="R1" s="5" t="s">
        <v>36</v>
      </c>
      <c r="S1" s="5" t="s">
        <v>50</v>
      </c>
      <c r="T1" s="5" t="s">
        <v>51</v>
      </c>
      <c r="U1" s="5" t="s">
        <v>52</v>
      </c>
      <c r="V1" s="5" t="s">
        <v>53</v>
      </c>
    </row>
    <row r="2" customFormat="false" ht="15" hidden="false" customHeight="false" outlineLevel="0" collapsed="false">
      <c r="A2" s="6" t="s">
        <v>54</v>
      </c>
      <c r="B2" s="6" t="n">
        <v>0</v>
      </c>
      <c r="C2" s="6" t="n">
        <v>56.2</v>
      </c>
      <c r="D2" s="6"/>
      <c r="E2" s="6" t="n">
        <v>55.7</v>
      </c>
      <c r="F2" s="6" t="s">
        <v>55</v>
      </c>
      <c r="G2" s="6" t="s">
        <v>56</v>
      </c>
      <c r="H2" s="6" t="s">
        <v>57</v>
      </c>
      <c r="I2" s="6" t="s">
        <v>58</v>
      </c>
      <c r="J2" s="6" t="s">
        <v>59</v>
      </c>
      <c r="K2" s="6" t="s">
        <v>60</v>
      </c>
      <c r="L2" s="6" t="s">
        <v>61</v>
      </c>
      <c r="M2" s="6" t="s">
        <v>62</v>
      </c>
      <c r="N2" s="6" t="s">
        <v>63</v>
      </c>
      <c r="O2" s="6" t="str">
        <f aca="false">IF(A2="","",IFERROR(INDEX(Tracks!$E$2:$E$41,MATCH(A2,Tracks!$A$2:$A$41,0)),"?"))</f>
        <v>Example</v>
      </c>
      <c r="P2" s="6" t="n">
        <f aca="false">IF(A2="","",IFERROR(N(INDEX(Tracks!$F$2:$F$41,MATCH(A2,Tracks!$A$2:$A$41,0))),""))</f>
        <v>138</v>
      </c>
      <c r="Q2" s="7" t="n">
        <f aca="false">IF(D2&lt;&gt;"",D2-1,IF(OR(A2="",C2="",N(P2)&lt;=0),"",(N(B2)*60+C2-IFERROR(N(INDEX(Tracks!$G$2:$G$41,MATCH(A2,Tracks!$A$2:$A$41,0))),0))*P2/240))</f>
        <v>32.0275</v>
      </c>
      <c r="R2" s="6" t="n">
        <f aca="false">IF(Q2="","",INT(Q2)+1)</f>
        <v>33</v>
      </c>
      <c r="S2" s="7" t="n">
        <f aca="false">IF(OR(Q2="",D2&lt;&gt;""),"",MIN(4.75,ROUND((Q2-INT(Q2))*16,0)/4+1))</f>
        <v>1</v>
      </c>
      <c r="T2" s="8" t="n">
        <f aca="false">IF(OR(E2="",N(P2)&lt;=0),"",E2*P2/240)</f>
        <v>32.0275</v>
      </c>
      <c r="U2" s="6" t="n">
        <f aca="false">IF(Q2="","",IF(MIN(MOD(Q2,32),32-MOD(Q2,32))&lt;=0.25,32,IF(MIN(MOD(Q2,16),16-MOD(Q2,16))&lt;=0.25,16,IF(MIN(MOD(Q2,8),8-MOD(Q2,8))&lt;=0.25,8,""))))</f>
        <v>32</v>
      </c>
      <c r="V2" s="6" t="n">
        <f aca="false">IF(OR(Q2="",T2=""),"",IF(MIN(MOD((Q2+T2),32),32-MOD((Q2+T2),32))&lt;=0.25,32,IF(MIN(MOD((Q2+T2),16),16-MOD((Q2+T2),16))&lt;=0.25,16,IF(MIN(MOD((Q2+T2),8),8-MOD((Q2+T2),8))&lt;=0.25,8,""))))</f>
        <v>32</v>
      </c>
    </row>
    <row r="3" customFormat="false" ht="15" hidden="false" customHeight="false" outlineLevel="0" collapsed="false">
      <c r="A3" s="6" t="s">
        <v>54</v>
      </c>
      <c r="B3" s="6" t="n">
        <v>3</v>
      </c>
      <c r="C3" s="6" t="n">
        <v>15.3</v>
      </c>
      <c r="D3" s="6"/>
      <c r="E3" s="6" t="n">
        <v>13.9</v>
      </c>
      <c r="F3" s="6" t="s">
        <v>64</v>
      </c>
      <c r="G3" s="6" t="s">
        <v>65</v>
      </c>
      <c r="H3" s="6" t="s">
        <v>57</v>
      </c>
      <c r="I3" s="6" t="s">
        <v>66</v>
      </c>
      <c r="J3" s="6" t="s">
        <v>67</v>
      </c>
      <c r="K3" s="6" t="s">
        <v>68</v>
      </c>
      <c r="L3" s="6" t="s">
        <v>69</v>
      </c>
      <c r="M3" s="6" t="s">
        <v>70</v>
      </c>
      <c r="N3" s="6" t="s">
        <v>71</v>
      </c>
      <c r="O3" s="6" t="str">
        <f aca="false">IF(A3="","",IFERROR(INDEX(Tracks!$E$2:$E$41,MATCH(A3,Tracks!$A$2:$A$41,0)),"?"))</f>
        <v>Example</v>
      </c>
      <c r="P3" s="6" t="n">
        <f aca="false">IF(A3="","",IFERROR(N(INDEX(Tracks!$F$2:$F$41,MATCH(A3,Tracks!$A$2:$A$41,0))),""))</f>
        <v>138</v>
      </c>
      <c r="Q3" s="7" t="n">
        <f aca="false">IF(D3&lt;&gt;"",D3-1,IF(OR(A3="",C3="",N(P3)&lt;=0),"",(N(B3)*60+C3-IFERROR(N(INDEX(Tracks!$G$2:$G$41,MATCH(A3,Tracks!$A$2:$A$41,0))),0))*P3/240))</f>
        <v>112.01</v>
      </c>
      <c r="R3" s="6" t="n">
        <f aca="false">IF(Q3="","",INT(Q3)+1)</f>
        <v>113</v>
      </c>
      <c r="S3" s="7" t="n">
        <f aca="false">IF(OR(Q3="",D3&lt;&gt;""),"",MIN(4.75,ROUND((Q3-INT(Q3))*16,0)/4+1))</f>
        <v>1</v>
      </c>
      <c r="T3" s="8" t="n">
        <f aca="false">IF(OR(E3="",N(P3)&lt;=0),"",E3*P3/240)</f>
        <v>7.9925</v>
      </c>
      <c r="U3" s="6" t="n">
        <f aca="false">IF(Q3="","",IF(MIN(MOD(Q3,32),32-MOD(Q3,32))&lt;=0.25,32,IF(MIN(MOD(Q3,16),16-MOD(Q3,16))&lt;=0.25,16,IF(MIN(MOD(Q3,8),8-MOD(Q3,8))&lt;=0.25,8,""))))</f>
        <v>16</v>
      </c>
      <c r="V3" s="6" t="n">
        <f aca="false">IF(OR(Q3="",T3=""),"",IF(MIN(MOD((Q3+T3),32),32-MOD((Q3+T3),32))&lt;=0.25,32,IF(MIN(MOD((Q3+T3),16),16-MOD((Q3+T3),16))&lt;=0.25,16,IF(MIN(MOD((Q3+T3),8),8-MOD((Q3+T3),8))&lt;=0.25,8,""))))</f>
        <v>8</v>
      </c>
    </row>
    <row r="4" customFormat="false" ht="15" hidden="false" customHeight="false" outlineLevel="0" collapsed="false">
      <c r="A4" s="6" t="s">
        <v>54</v>
      </c>
      <c r="B4" s="6" t="n">
        <v>4</v>
      </c>
      <c r="C4" s="6" t="n">
        <v>2.6</v>
      </c>
      <c r="D4" s="6"/>
      <c r="E4" s="6" t="n">
        <v>0.4</v>
      </c>
      <c r="F4" s="6" t="s">
        <v>72</v>
      </c>
      <c r="G4" s="6" t="s">
        <v>73</v>
      </c>
      <c r="H4" s="6" t="s">
        <v>74</v>
      </c>
      <c r="I4" s="6" t="s">
        <v>75</v>
      </c>
      <c r="J4" s="6" t="s">
        <v>76</v>
      </c>
      <c r="K4" s="6" t="s">
        <v>68</v>
      </c>
      <c r="L4" s="6" t="s">
        <v>77</v>
      </c>
      <c r="M4" s="6" t="s">
        <v>78</v>
      </c>
      <c r="N4" s="6" t="s">
        <v>79</v>
      </c>
      <c r="O4" s="6" t="str">
        <f aca="false">IF(A4="","",IFERROR(INDEX(Tracks!$E$2:$E$41,MATCH(A4,Tracks!$A$2:$A$41,0)),"?"))</f>
        <v>Example</v>
      </c>
      <c r="P4" s="6" t="n">
        <f aca="false">IF(A4="","",IFERROR(N(INDEX(Tracks!$F$2:$F$41,MATCH(A4,Tracks!$A$2:$A$41,0))),""))</f>
        <v>138</v>
      </c>
      <c r="Q4" s="7" t="n">
        <f aca="false">IF(D4&lt;&gt;"",D4-1,IF(OR(A4="",C4="",N(P4)&lt;=0),"",(N(B4)*60+C4-IFERROR(N(INDEX(Tracks!$G$2:$G$41,MATCH(A4,Tracks!$A$2:$A$41,0))),0))*P4/240))</f>
        <v>139.2075</v>
      </c>
      <c r="R4" s="6" t="n">
        <f aca="false">IF(Q4="","",INT(Q4)+1)</f>
        <v>140</v>
      </c>
      <c r="S4" s="7" t="n">
        <f aca="false">IF(OR(Q4="",D4&lt;&gt;""),"",MIN(4.75,ROUND((Q4-INT(Q4))*16,0)/4+1))</f>
        <v>1.75</v>
      </c>
      <c r="T4" s="8" t="n">
        <f aca="false">IF(OR(E4="",N(P4)&lt;=0),"",E4*P4/240)</f>
        <v>0.23</v>
      </c>
      <c r="U4" s="6" t="str">
        <f aca="false">IF(Q4="","",IF(MIN(MOD(Q4,32),32-MOD(Q4,32))&lt;=0.25,32,IF(MIN(MOD(Q4,16),16-MOD(Q4,16))&lt;=0.25,16,IF(MIN(MOD(Q4,8),8-MOD(Q4,8))&lt;=0.25,8,""))))</f>
        <v/>
      </c>
      <c r="V4" s="6" t="str">
        <f aca="false">IF(OR(Q4="",T4=""),"",IF(MIN(MOD((Q4+T4),32),32-MOD((Q4+T4),32))&lt;=0.25,32,IF(MIN(MOD((Q4+T4),16),16-MOD((Q4+T4),16))&lt;=0.25,16,IF(MIN(MOD((Q4+T4),8),8-MOD((Q4+T4),8))&lt;=0.25,8,""))))</f>
        <v/>
      </c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9" t="str">
        <f aca="false">IF(A5="","",IFERROR(INDEX(Tracks!$E$2:$E$41,MATCH(A5,Tracks!$A$2:$A$41,0)),"?"))</f>
        <v/>
      </c>
      <c r="P5" s="9" t="str">
        <f aca="false">IF(A5="","",IFERROR(N(INDEX(Tracks!$F$2:$F$41,MATCH(A5,Tracks!$A$2:$A$41,0))),""))</f>
        <v/>
      </c>
      <c r="Q5" s="10" t="str">
        <f aca="false">IF(D5&lt;&gt;"",D5-1,IF(OR(A5="",C5="",N(P5)&lt;=0),"",(N(B5)*60+C5-IFERROR(N(INDEX(Tracks!$G$2:$G$41,MATCH(A5,Tracks!$A$2:$A$41,0))),0))*P5/240))</f>
        <v/>
      </c>
      <c r="R5" s="9" t="str">
        <f aca="false">IF(Q5="","",INT(Q5)+1)</f>
        <v/>
      </c>
      <c r="S5" s="10" t="str">
        <f aca="false">IF(OR(Q5="",D5&lt;&gt;""),"",MIN(4.75,ROUND((Q5-INT(Q5))*16,0)/4+1))</f>
        <v/>
      </c>
      <c r="T5" s="11" t="str">
        <f aca="false">IF(OR(E5="",N(P5)&lt;=0),"",E5*P5/240)</f>
        <v/>
      </c>
      <c r="U5" s="9" t="str">
        <f aca="false">IF(Q5="","",IF(MIN(MOD(Q5,32),32-MOD(Q5,32))&lt;=0.25,32,IF(MIN(MOD(Q5,16),16-MOD(Q5,16))&lt;=0.25,16,IF(MIN(MOD(Q5,8),8-MOD(Q5,8))&lt;=0.25,8,""))))</f>
        <v/>
      </c>
      <c r="V5" s="9" t="str">
        <f aca="false">IF(OR(Q5="",T5=""),"",IF(MIN(MOD((Q5+T5),32),32-MOD((Q5+T5),32))&lt;=0.25,32,IF(MIN(MOD((Q5+T5),16),16-MOD((Q5+T5),16))&lt;=0.25,16,IF(MIN(MOD((Q5+T5),8),8-MOD((Q5+T5),8))&lt;=0.25,8,""))))</f>
        <v/>
      </c>
    </row>
    <row r="6" customFormat="false" ht="15" hidden="false" customHeight="fals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9" t="str">
        <f aca="false">IF(A6="","",IFERROR(INDEX(Tracks!$E$2:$E$41,MATCH(A6,Tracks!$A$2:$A$41,0)),"?"))</f>
        <v/>
      </c>
      <c r="P6" s="9" t="str">
        <f aca="false">IF(A6="","",IFERROR(N(INDEX(Tracks!$F$2:$F$41,MATCH(A6,Tracks!$A$2:$A$41,0))),""))</f>
        <v/>
      </c>
      <c r="Q6" s="10" t="str">
        <f aca="false">IF(D6&lt;&gt;"",D6-1,IF(OR(A6="",C6="",N(P6)&lt;=0),"",(N(B6)*60+C6-IFERROR(N(INDEX(Tracks!$G$2:$G$41,MATCH(A6,Tracks!$A$2:$A$41,0))),0))*P6/240))</f>
        <v/>
      </c>
      <c r="R6" s="9" t="str">
        <f aca="false">IF(Q6="","",INT(Q6)+1)</f>
        <v/>
      </c>
      <c r="S6" s="10" t="str">
        <f aca="false">IF(OR(Q6="",D6&lt;&gt;""),"",MIN(4.75,ROUND((Q6-INT(Q6))*16,0)/4+1))</f>
        <v/>
      </c>
      <c r="T6" s="11" t="str">
        <f aca="false">IF(OR(E6="",N(P6)&lt;=0),"",E6*P6/240)</f>
        <v/>
      </c>
      <c r="U6" s="9" t="str">
        <f aca="false">IF(Q6="","",IF(MIN(MOD(Q6,32),32-MOD(Q6,32))&lt;=0.25,32,IF(MIN(MOD(Q6,16),16-MOD(Q6,16))&lt;=0.25,16,IF(MIN(MOD(Q6,8),8-MOD(Q6,8))&lt;=0.25,8,""))))</f>
        <v/>
      </c>
      <c r="V6" s="9" t="str">
        <f aca="false">IF(OR(Q6="",T6=""),"",IF(MIN(MOD((Q6+T6),32),32-MOD((Q6+T6),32))&lt;=0.25,32,IF(MIN(MOD((Q6+T6),16),16-MOD((Q6+T6),16))&lt;=0.25,16,IF(MIN(MOD((Q6+T6),8),8-MOD((Q6+T6),8))&lt;=0.25,8,""))))</f>
        <v/>
      </c>
    </row>
    <row r="7" customFormat="false" ht="15" hidden="false" customHeight="fals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9" t="str">
        <f aca="false">IF(A7="","",IFERROR(INDEX(Tracks!$E$2:$E$41,MATCH(A7,Tracks!$A$2:$A$41,0)),"?"))</f>
        <v/>
      </c>
      <c r="P7" s="9" t="str">
        <f aca="false">IF(A7="","",IFERROR(N(INDEX(Tracks!$F$2:$F$41,MATCH(A7,Tracks!$A$2:$A$41,0))),""))</f>
        <v/>
      </c>
      <c r="Q7" s="10" t="str">
        <f aca="false">IF(D7&lt;&gt;"",D7-1,IF(OR(A7="",C7="",N(P7)&lt;=0),"",(N(B7)*60+C7-IFERROR(N(INDEX(Tracks!$G$2:$G$41,MATCH(A7,Tracks!$A$2:$A$41,0))),0))*P7/240))</f>
        <v/>
      </c>
      <c r="R7" s="9" t="str">
        <f aca="false">IF(Q7="","",INT(Q7)+1)</f>
        <v/>
      </c>
      <c r="S7" s="10" t="str">
        <f aca="false">IF(OR(Q7="",D7&lt;&gt;""),"",MIN(4.75,ROUND((Q7-INT(Q7))*16,0)/4+1))</f>
        <v/>
      </c>
      <c r="T7" s="11" t="str">
        <f aca="false">IF(OR(E7="",N(P7)&lt;=0),"",E7*P7/240)</f>
        <v/>
      </c>
      <c r="U7" s="9" t="str">
        <f aca="false">IF(Q7="","",IF(MIN(MOD(Q7,32),32-MOD(Q7,32))&lt;=0.25,32,IF(MIN(MOD(Q7,16),16-MOD(Q7,16))&lt;=0.25,16,IF(MIN(MOD(Q7,8),8-MOD(Q7,8))&lt;=0.25,8,""))))</f>
        <v/>
      </c>
      <c r="V7" s="9" t="str">
        <f aca="false">IF(OR(Q7="",T7=""),"",IF(MIN(MOD((Q7+T7),32),32-MOD((Q7+T7),32))&lt;=0.25,32,IF(MIN(MOD((Q7+T7),16),16-MOD((Q7+T7),16))&lt;=0.25,16,IF(MIN(MOD((Q7+T7),8),8-MOD((Q7+T7),8))&lt;=0.25,8,""))))</f>
        <v/>
      </c>
    </row>
    <row r="8" customFormat="false" ht="15" hidden="false" customHeight="false" outlineLevel="0" collapsed="false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9" t="str">
        <f aca="false">IF(A8="","",IFERROR(INDEX(Tracks!$E$2:$E$41,MATCH(A8,Tracks!$A$2:$A$41,0)),"?"))</f>
        <v/>
      </c>
      <c r="P8" s="9" t="str">
        <f aca="false">IF(A8="","",IFERROR(N(INDEX(Tracks!$F$2:$F$41,MATCH(A8,Tracks!$A$2:$A$41,0))),""))</f>
        <v/>
      </c>
      <c r="Q8" s="10" t="str">
        <f aca="false">IF(D8&lt;&gt;"",D8-1,IF(OR(A8="",C8="",N(P8)&lt;=0),"",(N(B8)*60+C8-IFERROR(N(INDEX(Tracks!$G$2:$G$41,MATCH(A8,Tracks!$A$2:$A$41,0))),0))*P8/240))</f>
        <v/>
      </c>
      <c r="R8" s="9" t="str">
        <f aca="false">IF(Q8="","",INT(Q8)+1)</f>
        <v/>
      </c>
      <c r="S8" s="10" t="str">
        <f aca="false">IF(OR(Q8="",D8&lt;&gt;""),"",MIN(4.75,ROUND((Q8-INT(Q8))*16,0)/4+1))</f>
        <v/>
      </c>
      <c r="T8" s="11" t="str">
        <f aca="false">IF(OR(E8="",N(P8)&lt;=0),"",E8*P8/240)</f>
        <v/>
      </c>
      <c r="U8" s="9" t="str">
        <f aca="false">IF(Q8="","",IF(MIN(MOD(Q8,32),32-MOD(Q8,32))&lt;=0.25,32,IF(MIN(MOD(Q8,16),16-MOD(Q8,16))&lt;=0.25,16,IF(MIN(MOD(Q8,8),8-MOD(Q8,8))&lt;=0.25,8,""))))</f>
        <v/>
      </c>
      <c r="V8" s="9" t="str">
        <f aca="false">IF(OR(Q8="",T8=""),"",IF(MIN(MOD((Q8+T8),32),32-MOD((Q8+T8),32))&lt;=0.25,32,IF(MIN(MOD((Q8+T8),16),16-MOD((Q8+T8),16))&lt;=0.25,16,IF(MIN(MOD((Q8+T8),8),8-MOD((Q8+T8),8))&lt;=0.25,8,""))))</f>
        <v/>
      </c>
    </row>
    <row r="9" customFormat="false" ht="15" hidden="false" customHeight="fals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9" t="str">
        <f aca="false">IF(A9="","",IFERROR(INDEX(Tracks!$E$2:$E$41,MATCH(A9,Tracks!$A$2:$A$41,0)),"?"))</f>
        <v/>
      </c>
      <c r="P9" s="9" t="str">
        <f aca="false">IF(A9="","",IFERROR(N(INDEX(Tracks!$F$2:$F$41,MATCH(A9,Tracks!$A$2:$A$41,0))),""))</f>
        <v/>
      </c>
      <c r="Q9" s="10" t="str">
        <f aca="false">IF(D9&lt;&gt;"",D9-1,IF(OR(A9="",C9="",N(P9)&lt;=0),"",(N(B9)*60+C9-IFERROR(N(INDEX(Tracks!$G$2:$G$41,MATCH(A9,Tracks!$A$2:$A$41,0))),0))*P9/240))</f>
        <v/>
      </c>
      <c r="R9" s="9" t="str">
        <f aca="false">IF(Q9="","",INT(Q9)+1)</f>
        <v/>
      </c>
      <c r="S9" s="10" t="str">
        <f aca="false">IF(OR(Q9="",D9&lt;&gt;""),"",MIN(4.75,ROUND((Q9-INT(Q9))*16,0)/4+1))</f>
        <v/>
      </c>
      <c r="T9" s="11" t="str">
        <f aca="false">IF(OR(E9="",N(P9)&lt;=0),"",E9*P9/240)</f>
        <v/>
      </c>
      <c r="U9" s="9" t="str">
        <f aca="false">IF(Q9="","",IF(MIN(MOD(Q9,32),32-MOD(Q9,32))&lt;=0.25,32,IF(MIN(MOD(Q9,16),16-MOD(Q9,16))&lt;=0.25,16,IF(MIN(MOD(Q9,8),8-MOD(Q9,8))&lt;=0.25,8,""))))</f>
        <v/>
      </c>
      <c r="V9" s="9" t="str">
        <f aca="false">IF(OR(Q9="",T9=""),"",IF(MIN(MOD((Q9+T9),32),32-MOD((Q9+T9),32))&lt;=0.25,32,IF(MIN(MOD((Q9+T9),16),16-MOD((Q9+T9),16))&lt;=0.25,16,IF(MIN(MOD((Q9+T9),8),8-MOD((Q9+T9),8))&lt;=0.25,8,""))))</f>
        <v/>
      </c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9" t="str">
        <f aca="false">IF(A10="","",IFERROR(INDEX(Tracks!$E$2:$E$41,MATCH(A10,Tracks!$A$2:$A$41,0)),"?"))</f>
        <v/>
      </c>
      <c r="P10" s="9" t="str">
        <f aca="false">IF(A10="","",IFERROR(N(INDEX(Tracks!$F$2:$F$41,MATCH(A10,Tracks!$A$2:$A$41,0))),""))</f>
        <v/>
      </c>
      <c r="Q10" s="10" t="str">
        <f aca="false">IF(D10&lt;&gt;"",D10-1,IF(OR(A10="",C10="",N(P10)&lt;=0),"",(N(B10)*60+C10-IFERROR(N(INDEX(Tracks!$G$2:$G$41,MATCH(A10,Tracks!$A$2:$A$41,0))),0))*P10/240))</f>
        <v/>
      </c>
      <c r="R10" s="9" t="str">
        <f aca="false">IF(Q10="","",INT(Q10)+1)</f>
        <v/>
      </c>
      <c r="S10" s="10" t="str">
        <f aca="false">IF(OR(Q10="",D10&lt;&gt;""),"",MIN(4.75,ROUND((Q10-INT(Q10))*16,0)/4+1))</f>
        <v/>
      </c>
      <c r="T10" s="11" t="str">
        <f aca="false">IF(OR(E10="",N(P10)&lt;=0),"",E10*P10/240)</f>
        <v/>
      </c>
      <c r="U10" s="9" t="str">
        <f aca="false">IF(Q10="","",IF(MIN(MOD(Q10,32),32-MOD(Q10,32))&lt;=0.25,32,IF(MIN(MOD(Q10,16),16-MOD(Q10,16))&lt;=0.25,16,IF(MIN(MOD(Q10,8),8-MOD(Q10,8))&lt;=0.25,8,""))))</f>
        <v/>
      </c>
      <c r="V10" s="9" t="str">
        <f aca="false">IF(OR(Q10="",T10=""),"",IF(MIN(MOD((Q10+T10),32),32-MOD((Q10+T10),32))&lt;=0.25,32,IF(MIN(MOD((Q10+T10),16),16-MOD((Q10+T10),16))&lt;=0.25,16,IF(MIN(MOD((Q10+T10),8),8-MOD((Q10+T10),8))&lt;=0.25,8,""))))</f>
        <v/>
      </c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9" t="str">
        <f aca="false">IF(A11="","",IFERROR(INDEX(Tracks!$E$2:$E$41,MATCH(A11,Tracks!$A$2:$A$41,0)),"?"))</f>
        <v/>
      </c>
      <c r="P11" s="9" t="str">
        <f aca="false">IF(A11="","",IFERROR(N(INDEX(Tracks!$F$2:$F$41,MATCH(A11,Tracks!$A$2:$A$41,0))),""))</f>
        <v/>
      </c>
      <c r="Q11" s="10" t="str">
        <f aca="false">IF(D11&lt;&gt;"",D11-1,IF(OR(A11="",C11="",N(P11)&lt;=0),"",(N(B11)*60+C11-IFERROR(N(INDEX(Tracks!$G$2:$G$41,MATCH(A11,Tracks!$A$2:$A$41,0))),0))*P11/240))</f>
        <v/>
      </c>
      <c r="R11" s="9" t="str">
        <f aca="false">IF(Q11="","",INT(Q11)+1)</f>
        <v/>
      </c>
      <c r="S11" s="10" t="str">
        <f aca="false">IF(OR(Q11="",D11&lt;&gt;""),"",MIN(4.75,ROUND((Q11-INT(Q11))*16,0)/4+1))</f>
        <v/>
      </c>
      <c r="T11" s="11" t="str">
        <f aca="false">IF(OR(E11="",N(P11)&lt;=0),"",E11*P11/240)</f>
        <v/>
      </c>
      <c r="U11" s="9" t="str">
        <f aca="false">IF(Q11="","",IF(MIN(MOD(Q11,32),32-MOD(Q11,32))&lt;=0.25,32,IF(MIN(MOD(Q11,16),16-MOD(Q11,16))&lt;=0.25,16,IF(MIN(MOD(Q11,8),8-MOD(Q11,8))&lt;=0.25,8,""))))</f>
        <v/>
      </c>
      <c r="V11" s="9" t="str">
        <f aca="false">IF(OR(Q11="",T11=""),"",IF(MIN(MOD((Q11+T11),32),32-MOD((Q11+T11),32))&lt;=0.25,32,IF(MIN(MOD((Q11+T11),16),16-MOD((Q11+T11),16))&lt;=0.25,16,IF(MIN(MOD((Q11+T11),8),8-MOD((Q11+T11),8))&lt;=0.25,8,""))))</f>
        <v/>
      </c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9" t="str">
        <f aca="false">IF(A12="","",IFERROR(INDEX(Tracks!$E$2:$E$41,MATCH(A12,Tracks!$A$2:$A$41,0)),"?"))</f>
        <v/>
      </c>
      <c r="P12" s="9" t="str">
        <f aca="false">IF(A12="","",IFERROR(N(INDEX(Tracks!$F$2:$F$41,MATCH(A12,Tracks!$A$2:$A$41,0))),""))</f>
        <v/>
      </c>
      <c r="Q12" s="10" t="str">
        <f aca="false">IF(D12&lt;&gt;"",D12-1,IF(OR(A12="",C12="",N(P12)&lt;=0),"",(N(B12)*60+C12-IFERROR(N(INDEX(Tracks!$G$2:$G$41,MATCH(A12,Tracks!$A$2:$A$41,0))),0))*P12/240))</f>
        <v/>
      </c>
      <c r="R12" s="9" t="str">
        <f aca="false">IF(Q12="","",INT(Q12)+1)</f>
        <v/>
      </c>
      <c r="S12" s="10" t="str">
        <f aca="false">IF(OR(Q12="",D12&lt;&gt;""),"",MIN(4.75,ROUND((Q12-INT(Q12))*16,0)/4+1))</f>
        <v/>
      </c>
      <c r="T12" s="11" t="str">
        <f aca="false">IF(OR(E12="",N(P12)&lt;=0),"",E12*P12/240)</f>
        <v/>
      </c>
      <c r="U12" s="9" t="str">
        <f aca="false">IF(Q12="","",IF(MIN(MOD(Q12,32),32-MOD(Q12,32))&lt;=0.25,32,IF(MIN(MOD(Q12,16),16-MOD(Q12,16))&lt;=0.25,16,IF(MIN(MOD(Q12,8),8-MOD(Q12,8))&lt;=0.25,8,""))))</f>
        <v/>
      </c>
      <c r="V12" s="9" t="str">
        <f aca="false">IF(OR(Q12="",T12=""),"",IF(MIN(MOD((Q12+T12),32),32-MOD((Q12+T12),32))&lt;=0.25,32,IF(MIN(MOD((Q12+T12),16),16-MOD((Q12+T12),16))&lt;=0.25,16,IF(MIN(MOD((Q12+T12),8),8-MOD((Q12+T12),8))&lt;=0.25,8,""))))</f>
        <v/>
      </c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9" t="str">
        <f aca="false">IF(A13="","",IFERROR(INDEX(Tracks!$E$2:$E$41,MATCH(A13,Tracks!$A$2:$A$41,0)),"?"))</f>
        <v/>
      </c>
      <c r="P13" s="9" t="str">
        <f aca="false">IF(A13="","",IFERROR(N(INDEX(Tracks!$F$2:$F$41,MATCH(A13,Tracks!$A$2:$A$41,0))),""))</f>
        <v/>
      </c>
      <c r="Q13" s="10" t="str">
        <f aca="false">IF(D13&lt;&gt;"",D13-1,IF(OR(A13="",C13="",N(P13)&lt;=0),"",(N(B13)*60+C13-IFERROR(N(INDEX(Tracks!$G$2:$G$41,MATCH(A13,Tracks!$A$2:$A$41,0))),0))*P13/240))</f>
        <v/>
      </c>
      <c r="R13" s="9" t="str">
        <f aca="false">IF(Q13="","",INT(Q13)+1)</f>
        <v/>
      </c>
      <c r="S13" s="10" t="str">
        <f aca="false">IF(OR(Q13="",D13&lt;&gt;""),"",MIN(4.75,ROUND((Q13-INT(Q13))*16,0)/4+1))</f>
        <v/>
      </c>
      <c r="T13" s="11" t="str">
        <f aca="false">IF(OR(E13="",N(P13)&lt;=0),"",E13*P13/240)</f>
        <v/>
      </c>
      <c r="U13" s="9" t="str">
        <f aca="false">IF(Q13="","",IF(MIN(MOD(Q13,32),32-MOD(Q13,32))&lt;=0.25,32,IF(MIN(MOD(Q13,16),16-MOD(Q13,16))&lt;=0.25,16,IF(MIN(MOD(Q13,8),8-MOD(Q13,8))&lt;=0.25,8,""))))</f>
        <v/>
      </c>
      <c r="V13" s="9" t="str">
        <f aca="false">IF(OR(Q13="",T13=""),"",IF(MIN(MOD((Q13+T13),32),32-MOD((Q13+T13),32))&lt;=0.25,32,IF(MIN(MOD((Q13+T13),16),16-MOD((Q13+T13),16))&lt;=0.25,16,IF(MIN(MOD((Q13+T13),8),8-MOD((Q13+T13),8))&lt;=0.25,8,""))))</f>
        <v/>
      </c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9" t="str">
        <f aca="false">IF(A14="","",IFERROR(INDEX(Tracks!$E$2:$E$41,MATCH(A14,Tracks!$A$2:$A$41,0)),"?"))</f>
        <v/>
      </c>
      <c r="P14" s="9" t="str">
        <f aca="false">IF(A14="","",IFERROR(N(INDEX(Tracks!$F$2:$F$41,MATCH(A14,Tracks!$A$2:$A$41,0))),""))</f>
        <v/>
      </c>
      <c r="Q14" s="10" t="str">
        <f aca="false">IF(D14&lt;&gt;"",D14-1,IF(OR(A14="",C14="",N(P14)&lt;=0),"",(N(B14)*60+C14-IFERROR(N(INDEX(Tracks!$G$2:$G$41,MATCH(A14,Tracks!$A$2:$A$41,0))),0))*P14/240))</f>
        <v/>
      </c>
      <c r="R14" s="9" t="str">
        <f aca="false">IF(Q14="","",INT(Q14)+1)</f>
        <v/>
      </c>
      <c r="S14" s="10" t="str">
        <f aca="false">IF(OR(Q14="",D14&lt;&gt;""),"",MIN(4.75,ROUND((Q14-INT(Q14))*16,0)/4+1))</f>
        <v/>
      </c>
      <c r="T14" s="11" t="str">
        <f aca="false">IF(OR(E14="",N(P14)&lt;=0),"",E14*P14/240)</f>
        <v/>
      </c>
      <c r="U14" s="9" t="str">
        <f aca="false">IF(Q14="","",IF(MIN(MOD(Q14,32),32-MOD(Q14,32))&lt;=0.25,32,IF(MIN(MOD(Q14,16),16-MOD(Q14,16))&lt;=0.25,16,IF(MIN(MOD(Q14,8),8-MOD(Q14,8))&lt;=0.25,8,""))))</f>
        <v/>
      </c>
      <c r="V14" s="9" t="str">
        <f aca="false">IF(OR(Q14="",T14=""),"",IF(MIN(MOD((Q14+T14),32),32-MOD((Q14+T14),32))&lt;=0.25,32,IF(MIN(MOD((Q14+T14),16),16-MOD((Q14+T14),16))&lt;=0.25,16,IF(MIN(MOD((Q14+T14),8),8-MOD((Q14+T14),8))&lt;=0.25,8,""))))</f>
        <v/>
      </c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9" t="str">
        <f aca="false">IF(A15="","",IFERROR(INDEX(Tracks!$E$2:$E$41,MATCH(A15,Tracks!$A$2:$A$41,0)),"?"))</f>
        <v/>
      </c>
      <c r="P15" s="9" t="str">
        <f aca="false">IF(A15="","",IFERROR(N(INDEX(Tracks!$F$2:$F$41,MATCH(A15,Tracks!$A$2:$A$41,0))),""))</f>
        <v/>
      </c>
      <c r="Q15" s="10" t="str">
        <f aca="false">IF(D15&lt;&gt;"",D15-1,IF(OR(A15="",C15="",N(P15)&lt;=0),"",(N(B15)*60+C15-IFERROR(N(INDEX(Tracks!$G$2:$G$41,MATCH(A15,Tracks!$A$2:$A$41,0))),0))*P15/240))</f>
        <v/>
      </c>
      <c r="R15" s="9" t="str">
        <f aca="false">IF(Q15="","",INT(Q15)+1)</f>
        <v/>
      </c>
      <c r="S15" s="10" t="str">
        <f aca="false">IF(OR(Q15="",D15&lt;&gt;""),"",MIN(4.75,ROUND((Q15-INT(Q15))*16,0)/4+1))</f>
        <v/>
      </c>
      <c r="T15" s="11" t="str">
        <f aca="false">IF(OR(E15="",N(P15)&lt;=0),"",E15*P15/240)</f>
        <v/>
      </c>
      <c r="U15" s="9" t="str">
        <f aca="false">IF(Q15="","",IF(MIN(MOD(Q15,32),32-MOD(Q15,32))&lt;=0.25,32,IF(MIN(MOD(Q15,16),16-MOD(Q15,16))&lt;=0.25,16,IF(MIN(MOD(Q15,8),8-MOD(Q15,8))&lt;=0.25,8,""))))</f>
        <v/>
      </c>
      <c r="V15" s="9" t="str">
        <f aca="false">IF(OR(Q15="",T15=""),"",IF(MIN(MOD((Q15+T15),32),32-MOD((Q15+T15),32))&lt;=0.25,32,IF(MIN(MOD((Q15+T15),16),16-MOD((Q15+T15),16))&lt;=0.25,16,IF(MIN(MOD((Q15+T15),8),8-MOD((Q15+T15),8))&lt;=0.25,8,""))))</f>
        <v/>
      </c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9" t="str">
        <f aca="false">IF(A16="","",IFERROR(INDEX(Tracks!$E$2:$E$41,MATCH(A16,Tracks!$A$2:$A$41,0)),"?"))</f>
        <v/>
      </c>
      <c r="P16" s="9" t="str">
        <f aca="false">IF(A16="","",IFERROR(N(INDEX(Tracks!$F$2:$F$41,MATCH(A16,Tracks!$A$2:$A$41,0))),""))</f>
        <v/>
      </c>
      <c r="Q16" s="10" t="str">
        <f aca="false">IF(D16&lt;&gt;"",D16-1,IF(OR(A16="",C16="",N(P16)&lt;=0),"",(N(B16)*60+C16-IFERROR(N(INDEX(Tracks!$G$2:$G$41,MATCH(A16,Tracks!$A$2:$A$41,0))),0))*P16/240))</f>
        <v/>
      </c>
      <c r="R16" s="9" t="str">
        <f aca="false">IF(Q16="","",INT(Q16)+1)</f>
        <v/>
      </c>
      <c r="S16" s="10" t="str">
        <f aca="false">IF(OR(Q16="",D16&lt;&gt;""),"",MIN(4.75,ROUND((Q16-INT(Q16))*16,0)/4+1))</f>
        <v/>
      </c>
      <c r="T16" s="11" t="str">
        <f aca="false">IF(OR(E16="",N(P16)&lt;=0),"",E16*P16/240)</f>
        <v/>
      </c>
      <c r="U16" s="9" t="str">
        <f aca="false">IF(Q16="","",IF(MIN(MOD(Q16,32),32-MOD(Q16,32))&lt;=0.25,32,IF(MIN(MOD(Q16,16),16-MOD(Q16,16))&lt;=0.25,16,IF(MIN(MOD(Q16,8),8-MOD(Q16,8))&lt;=0.25,8,""))))</f>
        <v/>
      </c>
      <c r="V16" s="9" t="str">
        <f aca="false">IF(OR(Q16="",T16=""),"",IF(MIN(MOD((Q16+T16),32),32-MOD((Q16+T16),32))&lt;=0.25,32,IF(MIN(MOD((Q16+T16),16),16-MOD((Q16+T16),16))&lt;=0.25,16,IF(MIN(MOD((Q16+T16),8),8-MOD((Q16+T16),8))&lt;=0.25,8,""))))</f>
        <v/>
      </c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9" t="str">
        <f aca="false">IF(A17="","",IFERROR(INDEX(Tracks!$E$2:$E$41,MATCH(A17,Tracks!$A$2:$A$41,0)),"?"))</f>
        <v/>
      </c>
      <c r="P17" s="9" t="str">
        <f aca="false">IF(A17="","",IFERROR(N(INDEX(Tracks!$F$2:$F$41,MATCH(A17,Tracks!$A$2:$A$41,0))),""))</f>
        <v/>
      </c>
      <c r="Q17" s="10" t="str">
        <f aca="false">IF(D17&lt;&gt;"",D17-1,IF(OR(A17="",C17="",N(P17)&lt;=0),"",(N(B17)*60+C17-IFERROR(N(INDEX(Tracks!$G$2:$G$41,MATCH(A17,Tracks!$A$2:$A$41,0))),0))*P17/240))</f>
        <v/>
      </c>
      <c r="R17" s="9" t="str">
        <f aca="false">IF(Q17="","",INT(Q17)+1)</f>
        <v/>
      </c>
      <c r="S17" s="10" t="str">
        <f aca="false">IF(OR(Q17="",D17&lt;&gt;""),"",MIN(4.75,ROUND((Q17-INT(Q17))*16,0)/4+1))</f>
        <v/>
      </c>
      <c r="T17" s="11" t="str">
        <f aca="false">IF(OR(E17="",N(P17)&lt;=0),"",E17*P17/240)</f>
        <v/>
      </c>
      <c r="U17" s="9" t="str">
        <f aca="false">IF(Q17="","",IF(MIN(MOD(Q17,32),32-MOD(Q17,32))&lt;=0.25,32,IF(MIN(MOD(Q17,16),16-MOD(Q17,16))&lt;=0.25,16,IF(MIN(MOD(Q17,8),8-MOD(Q17,8))&lt;=0.25,8,""))))</f>
        <v/>
      </c>
      <c r="V17" s="9" t="str">
        <f aca="false">IF(OR(Q17="",T17=""),"",IF(MIN(MOD((Q17+T17),32),32-MOD((Q17+T17),32))&lt;=0.25,32,IF(MIN(MOD((Q17+T17),16),16-MOD((Q17+T17),16))&lt;=0.25,16,IF(MIN(MOD((Q17+T17),8),8-MOD((Q17+T17),8))&lt;=0.25,8,""))))</f>
        <v/>
      </c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9" t="str">
        <f aca="false">IF(A18="","",IFERROR(INDEX(Tracks!$E$2:$E$41,MATCH(A18,Tracks!$A$2:$A$41,0)),"?"))</f>
        <v/>
      </c>
      <c r="P18" s="9" t="str">
        <f aca="false">IF(A18="","",IFERROR(N(INDEX(Tracks!$F$2:$F$41,MATCH(A18,Tracks!$A$2:$A$41,0))),""))</f>
        <v/>
      </c>
      <c r="Q18" s="10" t="str">
        <f aca="false">IF(D18&lt;&gt;"",D18-1,IF(OR(A18="",C18="",N(P18)&lt;=0),"",(N(B18)*60+C18-IFERROR(N(INDEX(Tracks!$G$2:$G$41,MATCH(A18,Tracks!$A$2:$A$41,0))),0))*P18/240))</f>
        <v/>
      </c>
      <c r="R18" s="9" t="str">
        <f aca="false">IF(Q18="","",INT(Q18)+1)</f>
        <v/>
      </c>
      <c r="S18" s="10" t="str">
        <f aca="false">IF(OR(Q18="",D18&lt;&gt;""),"",MIN(4.75,ROUND((Q18-INT(Q18))*16,0)/4+1))</f>
        <v/>
      </c>
      <c r="T18" s="11" t="str">
        <f aca="false">IF(OR(E18="",N(P18)&lt;=0),"",E18*P18/240)</f>
        <v/>
      </c>
      <c r="U18" s="9" t="str">
        <f aca="false">IF(Q18="","",IF(MIN(MOD(Q18,32),32-MOD(Q18,32))&lt;=0.25,32,IF(MIN(MOD(Q18,16),16-MOD(Q18,16))&lt;=0.25,16,IF(MIN(MOD(Q18,8),8-MOD(Q18,8))&lt;=0.25,8,""))))</f>
        <v/>
      </c>
      <c r="V18" s="9" t="str">
        <f aca="false">IF(OR(Q18="",T18=""),"",IF(MIN(MOD((Q18+T18),32),32-MOD((Q18+T18),32))&lt;=0.25,32,IF(MIN(MOD((Q18+T18),16),16-MOD((Q18+T18),16))&lt;=0.25,16,IF(MIN(MOD((Q18+T18),8),8-MOD((Q18+T18),8))&lt;=0.25,8,""))))</f>
        <v/>
      </c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9" t="str">
        <f aca="false">IF(A19="","",IFERROR(INDEX(Tracks!$E$2:$E$41,MATCH(A19,Tracks!$A$2:$A$41,0)),"?"))</f>
        <v/>
      </c>
      <c r="P19" s="9" t="str">
        <f aca="false">IF(A19="","",IFERROR(N(INDEX(Tracks!$F$2:$F$41,MATCH(A19,Tracks!$A$2:$A$41,0))),""))</f>
        <v/>
      </c>
      <c r="Q19" s="10" t="str">
        <f aca="false">IF(D19&lt;&gt;"",D19-1,IF(OR(A19="",C19="",N(P19)&lt;=0),"",(N(B19)*60+C19-IFERROR(N(INDEX(Tracks!$G$2:$G$41,MATCH(A19,Tracks!$A$2:$A$41,0))),0))*P19/240))</f>
        <v/>
      </c>
      <c r="R19" s="9" t="str">
        <f aca="false">IF(Q19="","",INT(Q19)+1)</f>
        <v/>
      </c>
      <c r="S19" s="10" t="str">
        <f aca="false">IF(OR(Q19="",D19&lt;&gt;""),"",MIN(4.75,ROUND((Q19-INT(Q19))*16,0)/4+1))</f>
        <v/>
      </c>
      <c r="T19" s="11" t="str">
        <f aca="false">IF(OR(E19="",N(P19)&lt;=0),"",E19*P19/240)</f>
        <v/>
      </c>
      <c r="U19" s="9" t="str">
        <f aca="false">IF(Q19="","",IF(MIN(MOD(Q19,32),32-MOD(Q19,32))&lt;=0.25,32,IF(MIN(MOD(Q19,16),16-MOD(Q19,16))&lt;=0.25,16,IF(MIN(MOD(Q19,8),8-MOD(Q19,8))&lt;=0.25,8,""))))</f>
        <v/>
      </c>
      <c r="V19" s="9" t="str">
        <f aca="false">IF(OR(Q19="",T19=""),"",IF(MIN(MOD((Q19+T19),32),32-MOD((Q19+T19),32))&lt;=0.25,32,IF(MIN(MOD((Q19+T19),16),16-MOD((Q19+T19),16))&lt;=0.25,16,IF(MIN(MOD((Q19+T19),8),8-MOD((Q19+T19),8))&lt;=0.25,8,""))))</f>
        <v/>
      </c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9" t="str">
        <f aca="false">IF(A20="","",IFERROR(INDEX(Tracks!$E$2:$E$41,MATCH(A20,Tracks!$A$2:$A$41,0)),"?"))</f>
        <v/>
      </c>
      <c r="P20" s="9" t="str">
        <f aca="false">IF(A20="","",IFERROR(N(INDEX(Tracks!$F$2:$F$41,MATCH(A20,Tracks!$A$2:$A$41,0))),""))</f>
        <v/>
      </c>
      <c r="Q20" s="10" t="str">
        <f aca="false">IF(D20&lt;&gt;"",D20-1,IF(OR(A20="",C20="",N(P20)&lt;=0),"",(N(B20)*60+C20-IFERROR(N(INDEX(Tracks!$G$2:$G$41,MATCH(A20,Tracks!$A$2:$A$41,0))),0))*P20/240))</f>
        <v/>
      </c>
      <c r="R20" s="9" t="str">
        <f aca="false">IF(Q20="","",INT(Q20)+1)</f>
        <v/>
      </c>
      <c r="S20" s="10" t="str">
        <f aca="false">IF(OR(Q20="",D20&lt;&gt;""),"",MIN(4.75,ROUND((Q20-INT(Q20))*16,0)/4+1))</f>
        <v/>
      </c>
      <c r="T20" s="11" t="str">
        <f aca="false">IF(OR(E20="",N(P20)&lt;=0),"",E20*P20/240)</f>
        <v/>
      </c>
      <c r="U20" s="9" t="str">
        <f aca="false">IF(Q20="","",IF(MIN(MOD(Q20,32),32-MOD(Q20,32))&lt;=0.25,32,IF(MIN(MOD(Q20,16),16-MOD(Q20,16))&lt;=0.25,16,IF(MIN(MOD(Q20,8),8-MOD(Q20,8))&lt;=0.25,8,""))))</f>
        <v/>
      </c>
      <c r="V20" s="9" t="str">
        <f aca="false">IF(OR(Q20="",T20=""),"",IF(MIN(MOD((Q20+T20),32),32-MOD((Q20+T20),32))&lt;=0.25,32,IF(MIN(MOD((Q20+T20),16),16-MOD((Q20+T20),16))&lt;=0.25,16,IF(MIN(MOD((Q20+T20),8),8-MOD((Q20+T20),8))&lt;=0.25,8,""))))</f>
        <v/>
      </c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9" t="str">
        <f aca="false">IF(A21="","",IFERROR(INDEX(Tracks!$E$2:$E$41,MATCH(A21,Tracks!$A$2:$A$41,0)),"?"))</f>
        <v/>
      </c>
      <c r="P21" s="9" t="str">
        <f aca="false">IF(A21="","",IFERROR(N(INDEX(Tracks!$F$2:$F$41,MATCH(A21,Tracks!$A$2:$A$41,0))),""))</f>
        <v/>
      </c>
      <c r="Q21" s="10" t="str">
        <f aca="false">IF(D21&lt;&gt;"",D21-1,IF(OR(A21="",C21="",N(P21)&lt;=0),"",(N(B21)*60+C21-IFERROR(N(INDEX(Tracks!$G$2:$G$41,MATCH(A21,Tracks!$A$2:$A$41,0))),0))*P21/240))</f>
        <v/>
      </c>
      <c r="R21" s="9" t="str">
        <f aca="false">IF(Q21="","",INT(Q21)+1)</f>
        <v/>
      </c>
      <c r="S21" s="10" t="str">
        <f aca="false">IF(OR(Q21="",D21&lt;&gt;""),"",MIN(4.75,ROUND((Q21-INT(Q21))*16,0)/4+1))</f>
        <v/>
      </c>
      <c r="T21" s="11" t="str">
        <f aca="false">IF(OR(E21="",N(P21)&lt;=0),"",E21*P21/240)</f>
        <v/>
      </c>
      <c r="U21" s="9" t="str">
        <f aca="false">IF(Q21="","",IF(MIN(MOD(Q21,32),32-MOD(Q21,32))&lt;=0.25,32,IF(MIN(MOD(Q21,16),16-MOD(Q21,16))&lt;=0.25,16,IF(MIN(MOD(Q21,8),8-MOD(Q21,8))&lt;=0.25,8,""))))</f>
        <v/>
      </c>
      <c r="V21" s="9" t="str">
        <f aca="false">IF(OR(Q21="",T21=""),"",IF(MIN(MOD((Q21+T21),32),32-MOD((Q21+T21),32))&lt;=0.25,32,IF(MIN(MOD((Q21+T21),16),16-MOD((Q21+T21),16))&lt;=0.25,16,IF(MIN(MOD((Q21+T21),8),8-MOD((Q21+T21),8))&lt;=0.25,8,""))))</f>
        <v/>
      </c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9" t="str">
        <f aca="false">IF(A22="","",IFERROR(INDEX(Tracks!$E$2:$E$41,MATCH(A22,Tracks!$A$2:$A$41,0)),"?"))</f>
        <v/>
      </c>
      <c r="P22" s="9" t="str">
        <f aca="false">IF(A22="","",IFERROR(N(INDEX(Tracks!$F$2:$F$41,MATCH(A22,Tracks!$A$2:$A$41,0))),""))</f>
        <v/>
      </c>
      <c r="Q22" s="10" t="str">
        <f aca="false">IF(D22&lt;&gt;"",D22-1,IF(OR(A22="",C22="",N(P22)&lt;=0),"",(N(B22)*60+C22-IFERROR(N(INDEX(Tracks!$G$2:$G$41,MATCH(A22,Tracks!$A$2:$A$41,0))),0))*P22/240))</f>
        <v/>
      </c>
      <c r="R22" s="9" t="str">
        <f aca="false">IF(Q22="","",INT(Q22)+1)</f>
        <v/>
      </c>
      <c r="S22" s="10" t="str">
        <f aca="false">IF(OR(Q22="",D22&lt;&gt;""),"",MIN(4.75,ROUND((Q22-INT(Q22))*16,0)/4+1))</f>
        <v/>
      </c>
      <c r="T22" s="11" t="str">
        <f aca="false">IF(OR(E22="",N(P22)&lt;=0),"",E22*P22/240)</f>
        <v/>
      </c>
      <c r="U22" s="9" t="str">
        <f aca="false">IF(Q22="","",IF(MIN(MOD(Q22,32),32-MOD(Q22,32))&lt;=0.25,32,IF(MIN(MOD(Q22,16),16-MOD(Q22,16))&lt;=0.25,16,IF(MIN(MOD(Q22,8),8-MOD(Q22,8))&lt;=0.25,8,""))))</f>
        <v/>
      </c>
      <c r="V22" s="9" t="str">
        <f aca="false">IF(OR(Q22="",T22=""),"",IF(MIN(MOD((Q22+T22),32),32-MOD((Q22+T22),32))&lt;=0.25,32,IF(MIN(MOD((Q22+T22),16),16-MOD((Q22+T22),16))&lt;=0.25,16,IF(MIN(MOD((Q22+T22),8),8-MOD((Q22+T22),8))&lt;=0.25,8,""))))</f>
        <v/>
      </c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9" t="str">
        <f aca="false">IF(A23="","",IFERROR(INDEX(Tracks!$E$2:$E$41,MATCH(A23,Tracks!$A$2:$A$41,0)),"?"))</f>
        <v/>
      </c>
      <c r="P23" s="9" t="str">
        <f aca="false">IF(A23="","",IFERROR(N(INDEX(Tracks!$F$2:$F$41,MATCH(A23,Tracks!$A$2:$A$41,0))),""))</f>
        <v/>
      </c>
      <c r="Q23" s="10" t="str">
        <f aca="false">IF(D23&lt;&gt;"",D23-1,IF(OR(A23="",C23="",N(P23)&lt;=0),"",(N(B23)*60+C23-IFERROR(N(INDEX(Tracks!$G$2:$G$41,MATCH(A23,Tracks!$A$2:$A$41,0))),0))*P23/240))</f>
        <v/>
      </c>
      <c r="R23" s="9" t="str">
        <f aca="false">IF(Q23="","",INT(Q23)+1)</f>
        <v/>
      </c>
      <c r="S23" s="10" t="str">
        <f aca="false">IF(OR(Q23="",D23&lt;&gt;""),"",MIN(4.75,ROUND((Q23-INT(Q23))*16,0)/4+1))</f>
        <v/>
      </c>
      <c r="T23" s="11" t="str">
        <f aca="false">IF(OR(E23="",N(P23)&lt;=0),"",E23*P23/240)</f>
        <v/>
      </c>
      <c r="U23" s="9" t="str">
        <f aca="false">IF(Q23="","",IF(MIN(MOD(Q23,32),32-MOD(Q23,32))&lt;=0.25,32,IF(MIN(MOD(Q23,16),16-MOD(Q23,16))&lt;=0.25,16,IF(MIN(MOD(Q23,8),8-MOD(Q23,8))&lt;=0.25,8,""))))</f>
        <v/>
      </c>
      <c r="V23" s="9" t="str">
        <f aca="false">IF(OR(Q23="",T23=""),"",IF(MIN(MOD((Q23+T23),32),32-MOD((Q23+T23),32))&lt;=0.25,32,IF(MIN(MOD((Q23+T23),16),16-MOD((Q23+T23),16))&lt;=0.25,16,IF(MIN(MOD((Q23+T23),8),8-MOD((Q23+T23),8))&lt;=0.25,8,""))))</f>
        <v/>
      </c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9" t="str">
        <f aca="false">IF(A24="","",IFERROR(INDEX(Tracks!$E$2:$E$41,MATCH(A24,Tracks!$A$2:$A$41,0)),"?"))</f>
        <v/>
      </c>
      <c r="P24" s="9" t="str">
        <f aca="false">IF(A24="","",IFERROR(N(INDEX(Tracks!$F$2:$F$41,MATCH(A24,Tracks!$A$2:$A$41,0))),""))</f>
        <v/>
      </c>
      <c r="Q24" s="10" t="str">
        <f aca="false">IF(D24&lt;&gt;"",D24-1,IF(OR(A24="",C24="",N(P24)&lt;=0),"",(N(B24)*60+C24-IFERROR(N(INDEX(Tracks!$G$2:$G$41,MATCH(A24,Tracks!$A$2:$A$41,0))),0))*P24/240))</f>
        <v/>
      </c>
      <c r="R24" s="9" t="str">
        <f aca="false">IF(Q24="","",INT(Q24)+1)</f>
        <v/>
      </c>
      <c r="S24" s="10" t="str">
        <f aca="false">IF(OR(Q24="",D24&lt;&gt;""),"",MIN(4.75,ROUND((Q24-INT(Q24))*16,0)/4+1))</f>
        <v/>
      </c>
      <c r="T24" s="11" t="str">
        <f aca="false">IF(OR(E24="",N(P24)&lt;=0),"",E24*P24/240)</f>
        <v/>
      </c>
      <c r="U24" s="9" t="str">
        <f aca="false">IF(Q24="","",IF(MIN(MOD(Q24,32),32-MOD(Q24,32))&lt;=0.25,32,IF(MIN(MOD(Q24,16),16-MOD(Q24,16))&lt;=0.25,16,IF(MIN(MOD(Q24,8),8-MOD(Q24,8))&lt;=0.25,8,""))))</f>
        <v/>
      </c>
      <c r="V24" s="9" t="str">
        <f aca="false">IF(OR(Q24="",T24=""),"",IF(MIN(MOD((Q24+T24),32),32-MOD((Q24+T24),32))&lt;=0.25,32,IF(MIN(MOD((Q24+T24),16),16-MOD((Q24+T24),16))&lt;=0.25,16,IF(MIN(MOD((Q24+T24),8),8-MOD((Q24+T24),8))&lt;=0.25,8,""))))</f>
        <v/>
      </c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9" t="str">
        <f aca="false">IF(A25="","",IFERROR(INDEX(Tracks!$E$2:$E$41,MATCH(A25,Tracks!$A$2:$A$41,0)),"?"))</f>
        <v/>
      </c>
      <c r="P25" s="9" t="str">
        <f aca="false">IF(A25="","",IFERROR(N(INDEX(Tracks!$F$2:$F$41,MATCH(A25,Tracks!$A$2:$A$41,0))),""))</f>
        <v/>
      </c>
      <c r="Q25" s="10" t="str">
        <f aca="false">IF(D25&lt;&gt;"",D25-1,IF(OR(A25="",C25="",N(P25)&lt;=0),"",(N(B25)*60+C25-IFERROR(N(INDEX(Tracks!$G$2:$G$41,MATCH(A25,Tracks!$A$2:$A$41,0))),0))*P25/240))</f>
        <v/>
      </c>
      <c r="R25" s="9" t="str">
        <f aca="false">IF(Q25="","",INT(Q25)+1)</f>
        <v/>
      </c>
      <c r="S25" s="10" t="str">
        <f aca="false">IF(OR(Q25="",D25&lt;&gt;""),"",MIN(4.75,ROUND((Q25-INT(Q25))*16,0)/4+1))</f>
        <v/>
      </c>
      <c r="T25" s="11" t="str">
        <f aca="false">IF(OR(E25="",N(P25)&lt;=0),"",E25*P25/240)</f>
        <v/>
      </c>
      <c r="U25" s="9" t="str">
        <f aca="false">IF(Q25="","",IF(MIN(MOD(Q25,32),32-MOD(Q25,32))&lt;=0.25,32,IF(MIN(MOD(Q25,16),16-MOD(Q25,16))&lt;=0.25,16,IF(MIN(MOD(Q25,8),8-MOD(Q25,8))&lt;=0.25,8,""))))</f>
        <v/>
      </c>
      <c r="V25" s="9" t="str">
        <f aca="false">IF(OR(Q25="",T25=""),"",IF(MIN(MOD((Q25+T25),32),32-MOD((Q25+T25),32))&lt;=0.25,32,IF(MIN(MOD((Q25+T25),16),16-MOD((Q25+T25),16))&lt;=0.25,16,IF(MIN(MOD((Q25+T25),8),8-MOD((Q25+T25),8))&lt;=0.25,8,""))))</f>
        <v/>
      </c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9" t="str">
        <f aca="false">IF(A26="","",IFERROR(INDEX(Tracks!$E$2:$E$41,MATCH(A26,Tracks!$A$2:$A$41,0)),"?"))</f>
        <v/>
      </c>
      <c r="P26" s="9" t="str">
        <f aca="false">IF(A26="","",IFERROR(N(INDEX(Tracks!$F$2:$F$41,MATCH(A26,Tracks!$A$2:$A$41,0))),""))</f>
        <v/>
      </c>
      <c r="Q26" s="10" t="str">
        <f aca="false">IF(D26&lt;&gt;"",D26-1,IF(OR(A26="",C26="",N(P26)&lt;=0),"",(N(B26)*60+C26-IFERROR(N(INDEX(Tracks!$G$2:$G$41,MATCH(A26,Tracks!$A$2:$A$41,0))),0))*P26/240))</f>
        <v/>
      </c>
      <c r="R26" s="9" t="str">
        <f aca="false">IF(Q26="","",INT(Q26)+1)</f>
        <v/>
      </c>
      <c r="S26" s="10" t="str">
        <f aca="false">IF(OR(Q26="",D26&lt;&gt;""),"",MIN(4.75,ROUND((Q26-INT(Q26))*16,0)/4+1))</f>
        <v/>
      </c>
      <c r="T26" s="11" t="str">
        <f aca="false">IF(OR(E26="",N(P26)&lt;=0),"",E26*P26/240)</f>
        <v/>
      </c>
      <c r="U26" s="9" t="str">
        <f aca="false">IF(Q26="","",IF(MIN(MOD(Q26,32),32-MOD(Q26,32))&lt;=0.25,32,IF(MIN(MOD(Q26,16),16-MOD(Q26,16))&lt;=0.25,16,IF(MIN(MOD(Q26,8),8-MOD(Q26,8))&lt;=0.25,8,""))))</f>
        <v/>
      </c>
      <c r="V26" s="9" t="str">
        <f aca="false">IF(OR(Q26="",T26=""),"",IF(MIN(MOD((Q26+T26),32),32-MOD((Q26+T26),32))&lt;=0.25,32,IF(MIN(MOD((Q26+T26),16),16-MOD((Q26+T26),16))&lt;=0.25,16,IF(MIN(MOD((Q26+T26),8),8-MOD((Q26+T26),8))&lt;=0.25,8,""))))</f>
        <v/>
      </c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9" t="str">
        <f aca="false">IF(A27="","",IFERROR(INDEX(Tracks!$E$2:$E$41,MATCH(A27,Tracks!$A$2:$A$41,0)),"?"))</f>
        <v/>
      </c>
      <c r="P27" s="9" t="str">
        <f aca="false">IF(A27="","",IFERROR(N(INDEX(Tracks!$F$2:$F$41,MATCH(A27,Tracks!$A$2:$A$41,0))),""))</f>
        <v/>
      </c>
      <c r="Q27" s="10" t="str">
        <f aca="false">IF(D27&lt;&gt;"",D27-1,IF(OR(A27="",C27="",N(P27)&lt;=0),"",(N(B27)*60+C27-IFERROR(N(INDEX(Tracks!$G$2:$G$41,MATCH(A27,Tracks!$A$2:$A$41,0))),0))*P27/240))</f>
        <v/>
      </c>
      <c r="R27" s="9" t="str">
        <f aca="false">IF(Q27="","",INT(Q27)+1)</f>
        <v/>
      </c>
      <c r="S27" s="10" t="str">
        <f aca="false">IF(OR(Q27="",D27&lt;&gt;""),"",MIN(4.75,ROUND((Q27-INT(Q27))*16,0)/4+1))</f>
        <v/>
      </c>
      <c r="T27" s="11" t="str">
        <f aca="false">IF(OR(E27="",N(P27)&lt;=0),"",E27*P27/240)</f>
        <v/>
      </c>
      <c r="U27" s="9" t="str">
        <f aca="false">IF(Q27="","",IF(MIN(MOD(Q27,32),32-MOD(Q27,32))&lt;=0.25,32,IF(MIN(MOD(Q27,16),16-MOD(Q27,16))&lt;=0.25,16,IF(MIN(MOD(Q27,8),8-MOD(Q27,8))&lt;=0.25,8,""))))</f>
        <v/>
      </c>
      <c r="V27" s="9" t="str">
        <f aca="false">IF(OR(Q27="",T27=""),"",IF(MIN(MOD((Q27+T27),32),32-MOD((Q27+T27),32))&lt;=0.25,32,IF(MIN(MOD((Q27+T27),16),16-MOD((Q27+T27),16))&lt;=0.25,16,IF(MIN(MOD((Q27+T27),8),8-MOD((Q27+T27),8))&lt;=0.25,8,""))))</f>
        <v/>
      </c>
    </row>
    <row r="28" customFormat="false" ht="1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9" t="str">
        <f aca="false">IF(A28="","",IFERROR(INDEX(Tracks!$E$2:$E$41,MATCH(A28,Tracks!$A$2:$A$41,0)),"?"))</f>
        <v/>
      </c>
      <c r="P28" s="9" t="str">
        <f aca="false">IF(A28="","",IFERROR(N(INDEX(Tracks!$F$2:$F$41,MATCH(A28,Tracks!$A$2:$A$41,0))),""))</f>
        <v/>
      </c>
      <c r="Q28" s="10" t="str">
        <f aca="false">IF(D28&lt;&gt;"",D28-1,IF(OR(A28="",C28="",N(P28)&lt;=0),"",(N(B28)*60+C28-IFERROR(N(INDEX(Tracks!$G$2:$G$41,MATCH(A28,Tracks!$A$2:$A$41,0))),0))*P28/240))</f>
        <v/>
      </c>
      <c r="R28" s="9" t="str">
        <f aca="false">IF(Q28="","",INT(Q28)+1)</f>
        <v/>
      </c>
      <c r="S28" s="10" t="str">
        <f aca="false">IF(OR(Q28="",D28&lt;&gt;""),"",MIN(4.75,ROUND((Q28-INT(Q28))*16,0)/4+1))</f>
        <v/>
      </c>
      <c r="T28" s="11" t="str">
        <f aca="false">IF(OR(E28="",N(P28)&lt;=0),"",E28*P28/240)</f>
        <v/>
      </c>
      <c r="U28" s="9" t="str">
        <f aca="false">IF(Q28="","",IF(MIN(MOD(Q28,32),32-MOD(Q28,32))&lt;=0.25,32,IF(MIN(MOD(Q28,16),16-MOD(Q28,16))&lt;=0.25,16,IF(MIN(MOD(Q28,8),8-MOD(Q28,8))&lt;=0.25,8,""))))</f>
        <v/>
      </c>
      <c r="V28" s="9" t="str">
        <f aca="false">IF(OR(Q28="",T28=""),"",IF(MIN(MOD((Q28+T28),32),32-MOD((Q28+T28),32))&lt;=0.25,32,IF(MIN(MOD((Q28+T28),16),16-MOD((Q28+T28),16))&lt;=0.25,16,IF(MIN(MOD((Q28+T28),8),8-MOD((Q28+T28),8))&lt;=0.25,8,""))))</f>
        <v/>
      </c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9" t="str">
        <f aca="false">IF(A29="","",IFERROR(INDEX(Tracks!$E$2:$E$41,MATCH(A29,Tracks!$A$2:$A$41,0)),"?"))</f>
        <v/>
      </c>
      <c r="P29" s="9" t="str">
        <f aca="false">IF(A29="","",IFERROR(N(INDEX(Tracks!$F$2:$F$41,MATCH(A29,Tracks!$A$2:$A$41,0))),""))</f>
        <v/>
      </c>
      <c r="Q29" s="10" t="str">
        <f aca="false">IF(D29&lt;&gt;"",D29-1,IF(OR(A29="",C29="",N(P29)&lt;=0),"",(N(B29)*60+C29-IFERROR(N(INDEX(Tracks!$G$2:$G$41,MATCH(A29,Tracks!$A$2:$A$41,0))),0))*P29/240))</f>
        <v/>
      </c>
      <c r="R29" s="9" t="str">
        <f aca="false">IF(Q29="","",INT(Q29)+1)</f>
        <v/>
      </c>
      <c r="S29" s="10" t="str">
        <f aca="false">IF(OR(Q29="",D29&lt;&gt;""),"",MIN(4.75,ROUND((Q29-INT(Q29))*16,0)/4+1))</f>
        <v/>
      </c>
      <c r="T29" s="11" t="str">
        <f aca="false">IF(OR(E29="",N(P29)&lt;=0),"",E29*P29/240)</f>
        <v/>
      </c>
      <c r="U29" s="9" t="str">
        <f aca="false">IF(Q29="","",IF(MIN(MOD(Q29,32),32-MOD(Q29,32))&lt;=0.25,32,IF(MIN(MOD(Q29,16),16-MOD(Q29,16))&lt;=0.25,16,IF(MIN(MOD(Q29,8),8-MOD(Q29,8))&lt;=0.25,8,""))))</f>
        <v/>
      </c>
      <c r="V29" s="9" t="str">
        <f aca="false">IF(OR(Q29="",T29=""),"",IF(MIN(MOD((Q29+T29),32),32-MOD((Q29+T29),32))&lt;=0.25,32,IF(MIN(MOD((Q29+T29),16),16-MOD((Q29+T29),16))&lt;=0.25,16,IF(MIN(MOD((Q29+T29),8),8-MOD((Q29+T29),8))&lt;=0.25,8,""))))</f>
        <v/>
      </c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9" t="str">
        <f aca="false">IF(A30="","",IFERROR(INDEX(Tracks!$E$2:$E$41,MATCH(A30,Tracks!$A$2:$A$41,0)),"?"))</f>
        <v/>
      </c>
      <c r="P30" s="9" t="str">
        <f aca="false">IF(A30="","",IFERROR(N(INDEX(Tracks!$F$2:$F$41,MATCH(A30,Tracks!$A$2:$A$41,0))),""))</f>
        <v/>
      </c>
      <c r="Q30" s="10" t="str">
        <f aca="false">IF(D30&lt;&gt;"",D30-1,IF(OR(A30="",C30="",N(P30)&lt;=0),"",(N(B30)*60+C30-IFERROR(N(INDEX(Tracks!$G$2:$G$41,MATCH(A30,Tracks!$A$2:$A$41,0))),0))*P30/240))</f>
        <v/>
      </c>
      <c r="R30" s="9" t="str">
        <f aca="false">IF(Q30="","",INT(Q30)+1)</f>
        <v/>
      </c>
      <c r="S30" s="10" t="str">
        <f aca="false">IF(OR(Q30="",D30&lt;&gt;""),"",MIN(4.75,ROUND((Q30-INT(Q30))*16,0)/4+1))</f>
        <v/>
      </c>
      <c r="T30" s="11" t="str">
        <f aca="false">IF(OR(E30="",N(P30)&lt;=0),"",E30*P30/240)</f>
        <v/>
      </c>
      <c r="U30" s="9" t="str">
        <f aca="false">IF(Q30="","",IF(MIN(MOD(Q30,32),32-MOD(Q30,32))&lt;=0.25,32,IF(MIN(MOD(Q30,16),16-MOD(Q30,16))&lt;=0.25,16,IF(MIN(MOD(Q30,8),8-MOD(Q30,8))&lt;=0.25,8,""))))</f>
        <v/>
      </c>
      <c r="V30" s="9" t="str">
        <f aca="false">IF(OR(Q30="",T30=""),"",IF(MIN(MOD((Q30+T30),32),32-MOD((Q30+T30),32))&lt;=0.25,32,IF(MIN(MOD((Q30+T30),16),16-MOD((Q30+T30),16))&lt;=0.25,16,IF(MIN(MOD((Q30+T30),8),8-MOD((Q30+T30),8))&lt;=0.25,8,""))))</f>
        <v/>
      </c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9" t="str">
        <f aca="false">IF(A31="","",IFERROR(INDEX(Tracks!$E$2:$E$41,MATCH(A31,Tracks!$A$2:$A$41,0)),"?"))</f>
        <v/>
      </c>
      <c r="P31" s="9" t="str">
        <f aca="false">IF(A31="","",IFERROR(N(INDEX(Tracks!$F$2:$F$41,MATCH(A31,Tracks!$A$2:$A$41,0))),""))</f>
        <v/>
      </c>
      <c r="Q31" s="10" t="str">
        <f aca="false">IF(D31&lt;&gt;"",D31-1,IF(OR(A31="",C31="",N(P31)&lt;=0),"",(N(B31)*60+C31-IFERROR(N(INDEX(Tracks!$G$2:$G$41,MATCH(A31,Tracks!$A$2:$A$41,0))),0))*P31/240))</f>
        <v/>
      </c>
      <c r="R31" s="9" t="str">
        <f aca="false">IF(Q31="","",INT(Q31)+1)</f>
        <v/>
      </c>
      <c r="S31" s="10" t="str">
        <f aca="false">IF(OR(Q31="",D31&lt;&gt;""),"",MIN(4.75,ROUND((Q31-INT(Q31))*16,0)/4+1))</f>
        <v/>
      </c>
      <c r="T31" s="11" t="str">
        <f aca="false">IF(OR(E31="",N(P31)&lt;=0),"",E31*P31/240)</f>
        <v/>
      </c>
      <c r="U31" s="9" t="str">
        <f aca="false">IF(Q31="","",IF(MIN(MOD(Q31,32),32-MOD(Q31,32))&lt;=0.25,32,IF(MIN(MOD(Q31,16),16-MOD(Q31,16))&lt;=0.25,16,IF(MIN(MOD(Q31,8),8-MOD(Q31,8))&lt;=0.25,8,""))))</f>
        <v/>
      </c>
      <c r="V31" s="9" t="str">
        <f aca="false">IF(OR(Q31="",T31=""),"",IF(MIN(MOD((Q31+T31),32),32-MOD((Q31+T31),32))&lt;=0.25,32,IF(MIN(MOD((Q31+T31),16),16-MOD((Q31+T31),16))&lt;=0.25,16,IF(MIN(MOD((Q31+T31),8),8-MOD((Q31+T31),8))&lt;=0.25,8,""))))</f>
        <v/>
      </c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9" t="str">
        <f aca="false">IF(A32="","",IFERROR(INDEX(Tracks!$E$2:$E$41,MATCH(A32,Tracks!$A$2:$A$41,0)),"?"))</f>
        <v/>
      </c>
      <c r="P32" s="9" t="str">
        <f aca="false">IF(A32="","",IFERROR(N(INDEX(Tracks!$F$2:$F$41,MATCH(A32,Tracks!$A$2:$A$41,0))),""))</f>
        <v/>
      </c>
      <c r="Q32" s="10" t="str">
        <f aca="false">IF(D32&lt;&gt;"",D32-1,IF(OR(A32="",C32="",N(P32)&lt;=0),"",(N(B32)*60+C32-IFERROR(N(INDEX(Tracks!$G$2:$G$41,MATCH(A32,Tracks!$A$2:$A$41,0))),0))*P32/240))</f>
        <v/>
      </c>
      <c r="R32" s="9" t="str">
        <f aca="false">IF(Q32="","",INT(Q32)+1)</f>
        <v/>
      </c>
      <c r="S32" s="10" t="str">
        <f aca="false">IF(OR(Q32="",D32&lt;&gt;""),"",MIN(4.75,ROUND((Q32-INT(Q32))*16,0)/4+1))</f>
        <v/>
      </c>
      <c r="T32" s="11" t="str">
        <f aca="false">IF(OR(E32="",N(P32)&lt;=0),"",E32*P32/240)</f>
        <v/>
      </c>
      <c r="U32" s="9" t="str">
        <f aca="false">IF(Q32="","",IF(MIN(MOD(Q32,32),32-MOD(Q32,32))&lt;=0.25,32,IF(MIN(MOD(Q32,16),16-MOD(Q32,16))&lt;=0.25,16,IF(MIN(MOD(Q32,8),8-MOD(Q32,8))&lt;=0.25,8,""))))</f>
        <v/>
      </c>
      <c r="V32" s="9" t="str">
        <f aca="false">IF(OR(Q32="",T32=""),"",IF(MIN(MOD((Q32+T32),32),32-MOD((Q32+T32),32))&lt;=0.25,32,IF(MIN(MOD((Q32+T32),16),16-MOD((Q32+T32),16))&lt;=0.25,16,IF(MIN(MOD((Q32+T32),8),8-MOD((Q32+T32),8))&lt;=0.25,8,""))))</f>
        <v/>
      </c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9" t="str">
        <f aca="false">IF(A33="","",IFERROR(INDEX(Tracks!$E$2:$E$41,MATCH(A33,Tracks!$A$2:$A$41,0)),"?"))</f>
        <v/>
      </c>
      <c r="P33" s="9" t="str">
        <f aca="false">IF(A33="","",IFERROR(N(INDEX(Tracks!$F$2:$F$41,MATCH(A33,Tracks!$A$2:$A$41,0))),""))</f>
        <v/>
      </c>
      <c r="Q33" s="10" t="str">
        <f aca="false">IF(D33&lt;&gt;"",D33-1,IF(OR(A33="",C33="",N(P33)&lt;=0),"",(N(B33)*60+C33-IFERROR(N(INDEX(Tracks!$G$2:$G$41,MATCH(A33,Tracks!$A$2:$A$41,0))),0))*P33/240))</f>
        <v/>
      </c>
      <c r="R33" s="9" t="str">
        <f aca="false">IF(Q33="","",INT(Q33)+1)</f>
        <v/>
      </c>
      <c r="S33" s="10" t="str">
        <f aca="false">IF(OR(Q33="",D33&lt;&gt;""),"",MIN(4.75,ROUND((Q33-INT(Q33))*16,0)/4+1))</f>
        <v/>
      </c>
      <c r="T33" s="11" t="str">
        <f aca="false">IF(OR(E33="",N(P33)&lt;=0),"",E33*P33/240)</f>
        <v/>
      </c>
      <c r="U33" s="9" t="str">
        <f aca="false">IF(Q33="","",IF(MIN(MOD(Q33,32),32-MOD(Q33,32))&lt;=0.25,32,IF(MIN(MOD(Q33,16),16-MOD(Q33,16))&lt;=0.25,16,IF(MIN(MOD(Q33,8),8-MOD(Q33,8))&lt;=0.25,8,""))))</f>
        <v/>
      </c>
      <c r="V33" s="9" t="str">
        <f aca="false">IF(OR(Q33="",T33=""),"",IF(MIN(MOD((Q33+T33),32),32-MOD((Q33+T33),32))&lt;=0.25,32,IF(MIN(MOD((Q33+T33),16),16-MOD((Q33+T33),16))&lt;=0.25,16,IF(MIN(MOD((Q33+T33),8),8-MOD((Q33+T33),8))&lt;=0.25,8,""))))</f>
        <v/>
      </c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9" t="str">
        <f aca="false">IF(A34="","",IFERROR(INDEX(Tracks!$E$2:$E$41,MATCH(A34,Tracks!$A$2:$A$41,0)),"?"))</f>
        <v/>
      </c>
      <c r="P34" s="9" t="str">
        <f aca="false">IF(A34="","",IFERROR(N(INDEX(Tracks!$F$2:$F$41,MATCH(A34,Tracks!$A$2:$A$41,0))),""))</f>
        <v/>
      </c>
      <c r="Q34" s="10" t="str">
        <f aca="false">IF(D34&lt;&gt;"",D34-1,IF(OR(A34="",C34="",N(P34)&lt;=0),"",(N(B34)*60+C34-IFERROR(N(INDEX(Tracks!$G$2:$G$41,MATCH(A34,Tracks!$A$2:$A$41,0))),0))*P34/240))</f>
        <v/>
      </c>
      <c r="R34" s="9" t="str">
        <f aca="false">IF(Q34="","",INT(Q34)+1)</f>
        <v/>
      </c>
      <c r="S34" s="10" t="str">
        <f aca="false">IF(OR(Q34="",D34&lt;&gt;""),"",MIN(4.75,ROUND((Q34-INT(Q34))*16,0)/4+1))</f>
        <v/>
      </c>
      <c r="T34" s="11" t="str">
        <f aca="false">IF(OR(E34="",N(P34)&lt;=0),"",E34*P34/240)</f>
        <v/>
      </c>
      <c r="U34" s="9" t="str">
        <f aca="false">IF(Q34="","",IF(MIN(MOD(Q34,32),32-MOD(Q34,32))&lt;=0.25,32,IF(MIN(MOD(Q34,16),16-MOD(Q34,16))&lt;=0.25,16,IF(MIN(MOD(Q34,8),8-MOD(Q34,8))&lt;=0.25,8,""))))</f>
        <v/>
      </c>
      <c r="V34" s="9" t="str">
        <f aca="false">IF(OR(Q34="",T34=""),"",IF(MIN(MOD((Q34+T34),32),32-MOD((Q34+T34),32))&lt;=0.25,32,IF(MIN(MOD((Q34+T34),16),16-MOD((Q34+T34),16))&lt;=0.25,16,IF(MIN(MOD((Q34+T34),8),8-MOD((Q34+T34),8))&lt;=0.25,8,""))))</f>
        <v/>
      </c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9" t="str">
        <f aca="false">IF(A35="","",IFERROR(INDEX(Tracks!$E$2:$E$41,MATCH(A35,Tracks!$A$2:$A$41,0)),"?"))</f>
        <v/>
      </c>
      <c r="P35" s="9" t="str">
        <f aca="false">IF(A35="","",IFERROR(N(INDEX(Tracks!$F$2:$F$41,MATCH(A35,Tracks!$A$2:$A$41,0))),""))</f>
        <v/>
      </c>
      <c r="Q35" s="10" t="str">
        <f aca="false">IF(D35&lt;&gt;"",D35-1,IF(OR(A35="",C35="",N(P35)&lt;=0),"",(N(B35)*60+C35-IFERROR(N(INDEX(Tracks!$G$2:$G$41,MATCH(A35,Tracks!$A$2:$A$41,0))),0))*P35/240))</f>
        <v/>
      </c>
      <c r="R35" s="9" t="str">
        <f aca="false">IF(Q35="","",INT(Q35)+1)</f>
        <v/>
      </c>
      <c r="S35" s="10" t="str">
        <f aca="false">IF(OR(Q35="",D35&lt;&gt;""),"",MIN(4.75,ROUND((Q35-INT(Q35))*16,0)/4+1))</f>
        <v/>
      </c>
      <c r="T35" s="11" t="str">
        <f aca="false">IF(OR(E35="",N(P35)&lt;=0),"",E35*P35/240)</f>
        <v/>
      </c>
      <c r="U35" s="9" t="str">
        <f aca="false">IF(Q35="","",IF(MIN(MOD(Q35,32),32-MOD(Q35,32))&lt;=0.25,32,IF(MIN(MOD(Q35,16),16-MOD(Q35,16))&lt;=0.25,16,IF(MIN(MOD(Q35,8),8-MOD(Q35,8))&lt;=0.25,8,""))))</f>
        <v/>
      </c>
      <c r="V35" s="9" t="str">
        <f aca="false">IF(OR(Q35="",T35=""),"",IF(MIN(MOD((Q35+T35),32),32-MOD((Q35+T35),32))&lt;=0.25,32,IF(MIN(MOD((Q35+T35),16),16-MOD((Q35+T35),16))&lt;=0.25,16,IF(MIN(MOD((Q35+T35),8),8-MOD((Q35+T35),8))&lt;=0.25,8,""))))</f>
        <v/>
      </c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9" t="str">
        <f aca="false">IF(A36="","",IFERROR(INDEX(Tracks!$E$2:$E$41,MATCH(A36,Tracks!$A$2:$A$41,0)),"?"))</f>
        <v/>
      </c>
      <c r="P36" s="9" t="str">
        <f aca="false">IF(A36="","",IFERROR(N(INDEX(Tracks!$F$2:$F$41,MATCH(A36,Tracks!$A$2:$A$41,0))),""))</f>
        <v/>
      </c>
      <c r="Q36" s="10" t="str">
        <f aca="false">IF(D36&lt;&gt;"",D36-1,IF(OR(A36="",C36="",N(P36)&lt;=0),"",(N(B36)*60+C36-IFERROR(N(INDEX(Tracks!$G$2:$G$41,MATCH(A36,Tracks!$A$2:$A$41,0))),0))*P36/240))</f>
        <v/>
      </c>
      <c r="R36" s="9" t="str">
        <f aca="false">IF(Q36="","",INT(Q36)+1)</f>
        <v/>
      </c>
      <c r="S36" s="10" t="str">
        <f aca="false">IF(OR(Q36="",D36&lt;&gt;""),"",MIN(4.75,ROUND((Q36-INT(Q36))*16,0)/4+1))</f>
        <v/>
      </c>
      <c r="T36" s="11" t="str">
        <f aca="false">IF(OR(E36="",N(P36)&lt;=0),"",E36*P36/240)</f>
        <v/>
      </c>
      <c r="U36" s="9" t="str">
        <f aca="false">IF(Q36="","",IF(MIN(MOD(Q36,32),32-MOD(Q36,32))&lt;=0.25,32,IF(MIN(MOD(Q36,16),16-MOD(Q36,16))&lt;=0.25,16,IF(MIN(MOD(Q36,8),8-MOD(Q36,8))&lt;=0.25,8,""))))</f>
        <v/>
      </c>
      <c r="V36" s="9" t="str">
        <f aca="false">IF(OR(Q36="",T36=""),"",IF(MIN(MOD((Q36+T36),32),32-MOD((Q36+T36),32))&lt;=0.25,32,IF(MIN(MOD((Q36+T36),16),16-MOD((Q36+T36),16))&lt;=0.25,16,IF(MIN(MOD((Q36+T36),8),8-MOD((Q36+T36),8))&lt;=0.25,8,""))))</f>
        <v/>
      </c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9" t="str">
        <f aca="false">IF(A37="","",IFERROR(INDEX(Tracks!$E$2:$E$41,MATCH(A37,Tracks!$A$2:$A$41,0)),"?"))</f>
        <v/>
      </c>
      <c r="P37" s="9" t="str">
        <f aca="false">IF(A37="","",IFERROR(N(INDEX(Tracks!$F$2:$F$41,MATCH(A37,Tracks!$A$2:$A$41,0))),""))</f>
        <v/>
      </c>
      <c r="Q37" s="10" t="str">
        <f aca="false">IF(D37&lt;&gt;"",D37-1,IF(OR(A37="",C37="",N(P37)&lt;=0),"",(N(B37)*60+C37-IFERROR(N(INDEX(Tracks!$G$2:$G$41,MATCH(A37,Tracks!$A$2:$A$41,0))),0))*P37/240))</f>
        <v/>
      </c>
      <c r="R37" s="9" t="str">
        <f aca="false">IF(Q37="","",INT(Q37)+1)</f>
        <v/>
      </c>
      <c r="S37" s="10" t="str">
        <f aca="false">IF(OR(Q37="",D37&lt;&gt;""),"",MIN(4.75,ROUND((Q37-INT(Q37))*16,0)/4+1))</f>
        <v/>
      </c>
      <c r="T37" s="11" t="str">
        <f aca="false">IF(OR(E37="",N(P37)&lt;=0),"",E37*P37/240)</f>
        <v/>
      </c>
      <c r="U37" s="9" t="str">
        <f aca="false">IF(Q37="","",IF(MIN(MOD(Q37,32),32-MOD(Q37,32))&lt;=0.25,32,IF(MIN(MOD(Q37,16),16-MOD(Q37,16))&lt;=0.25,16,IF(MIN(MOD(Q37,8),8-MOD(Q37,8))&lt;=0.25,8,""))))</f>
        <v/>
      </c>
      <c r="V37" s="9" t="str">
        <f aca="false">IF(OR(Q37="",T37=""),"",IF(MIN(MOD((Q37+T37),32),32-MOD((Q37+T37),32))&lt;=0.25,32,IF(MIN(MOD((Q37+T37),16),16-MOD((Q37+T37),16))&lt;=0.25,16,IF(MIN(MOD((Q37+T37),8),8-MOD((Q37+T37),8))&lt;=0.25,8,""))))</f>
        <v/>
      </c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9" t="str">
        <f aca="false">IF(A38="","",IFERROR(INDEX(Tracks!$E$2:$E$41,MATCH(A38,Tracks!$A$2:$A$41,0)),"?"))</f>
        <v/>
      </c>
      <c r="P38" s="9" t="str">
        <f aca="false">IF(A38="","",IFERROR(N(INDEX(Tracks!$F$2:$F$41,MATCH(A38,Tracks!$A$2:$A$41,0))),""))</f>
        <v/>
      </c>
      <c r="Q38" s="10" t="str">
        <f aca="false">IF(D38&lt;&gt;"",D38-1,IF(OR(A38="",C38="",N(P38)&lt;=0),"",(N(B38)*60+C38-IFERROR(N(INDEX(Tracks!$G$2:$G$41,MATCH(A38,Tracks!$A$2:$A$41,0))),0))*P38/240))</f>
        <v/>
      </c>
      <c r="R38" s="9" t="str">
        <f aca="false">IF(Q38="","",INT(Q38)+1)</f>
        <v/>
      </c>
      <c r="S38" s="10" t="str">
        <f aca="false">IF(OR(Q38="",D38&lt;&gt;""),"",MIN(4.75,ROUND((Q38-INT(Q38))*16,0)/4+1))</f>
        <v/>
      </c>
      <c r="T38" s="11" t="str">
        <f aca="false">IF(OR(E38="",N(P38)&lt;=0),"",E38*P38/240)</f>
        <v/>
      </c>
      <c r="U38" s="9" t="str">
        <f aca="false">IF(Q38="","",IF(MIN(MOD(Q38,32),32-MOD(Q38,32))&lt;=0.25,32,IF(MIN(MOD(Q38,16),16-MOD(Q38,16))&lt;=0.25,16,IF(MIN(MOD(Q38,8),8-MOD(Q38,8))&lt;=0.25,8,""))))</f>
        <v/>
      </c>
      <c r="V38" s="9" t="str">
        <f aca="false">IF(OR(Q38="",T38=""),"",IF(MIN(MOD((Q38+T38),32),32-MOD((Q38+T38),32))&lt;=0.25,32,IF(MIN(MOD((Q38+T38),16),16-MOD((Q38+T38),16))&lt;=0.25,16,IF(MIN(MOD((Q38+T38),8),8-MOD((Q38+T38),8))&lt;=0.25,8,""))))</f>
        <v/>
      </c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9" t="str">
        <f aca="false">IF(A39="","",IFERROR(INDEX(Tracks!$E$2:$E$41,MATCH(A39,Tracks!$A$2:$A$41,0)),"?"))</f>
        <v/>
      </c>
      <c r="P39" s="9" t="str">
        <f aca="false">IF(A39="","",IFERROR(N(INDEX(Tracks!$F$2:$F$41,MATCH(A39,Tracks!$A$2:$A$41,0))),""))</f>
        <v/>
      </c>
      <c r="Q39" s="10" t="str">
        <f aca="false">IF(D39&lt;&gt;"",D39-1,IF(OR(A39="",C39="",N(P39)&lt;=0),"",(N(B39)*60+C39-IFERROR(N(INDEX(Tracks!$G$2:$G$41,MATCH(A39,Tracks!$A$2:$A$41,0))),0))*P39/240))</f>
        <v/>
      </c>
      <c r="R39" s="9" t="str">
        <f aca="false">IF(Q39="","",INT(Q39)+1)</f>
        <v/>
      </c>
      <c r="S39" s="10" t="str">
        <f aca="false">IF(OR(Q39="",D39&lt;&gt;""),"",MIN(4.75,ROUND((Q39-INT(Q39))*16,0)/4+1))</f>
        <v/>
      </c>
      <c r="T39" s="11" t="str">
        <f aca="false">IF(OR(E39="",N(P39)&lt;=0),"",E39*P39/240)</f>
        <v/>
      </c>
      <c r="U39" s="9" t="str">
        <f aca="false">IF(Q39="","",IF(MIN(MOD(Q39,32),32-MOD(Q39,32))&lt;=0.25,32,IF(MIN(MOD(Q39,16),16-MOD(Q39,16))&lt;=0.25,16,IF(MIN(MOD(Q39,8),8-MOD(Q39,8))&lt;=0.25,8,""))))</f>
        <v/>
      </c>
      <c r="V39" s="9" t="str">
        <f aca="false">IF(OR(Q39="",T39=""),"",IF(MIN(MOD((Q39+T39),32),32-MOD((Q39+T39),32))&lt;=0.25,32,IF(MIN(MOD((Q39+T39),16),16-MOD((Q39+T39),16))&lt;=0.25,16,IF(MIN(MOD((Q39+T39),8),8-MOD((Q39+T39),8))&lt;=0.25,8,""))))</f>
        <v/>
      </c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9" t="str">
        <f aca="false">IF(A40="","",IFERROR(INDEX(Tracks!$E$2:$E$41,MATCH(A40,Tracks!$A$2:$A$41,0)),"?"))</f>
        <v/>
      </c>
      <c r="P40" s="9" t="str">
        <f aca="false">IF(A40="","",IFERROR(N(INDEX(Tracks!$F$2:$F$41,MATCH(A40,Tracks!$A$2:$A$41,0))),""))</f>
        <v/>
      </c>
      <c r="Q40" s="10" t="str">
        <f aca="false">IF(D40&lt;&gt;"",D40-1,IF(OR(A40="",C40="",N(P40)&lt;=0),"",(N(B40)*60+C40-IFERROR(N(INDEX(Tracks!$G$2:$G$41,MATCH(A40,Tracks!$A$2:$A$41,0))),0))*P40/240))</f>
        <v/>
      </c>
      <c r="R40" s="9" t="str">
        <f aca="false">IF(Q40="","",INT(Q40)+1)</f>
        <v/>
      </c>
      <c r="S40" s="10" t="str">
        <f aca="false">IF(OR(Q40="",D40&lt;&gt;""),"",MIN(4.75,ROUND((Q40-INT(Q40))*16,0)/4+1))</f>
        <v/>
      </c>
      <c r="T40" s="11" t="str">
        <f aca="false">IF(OR(E40="",N(P40)&lt;=0),"",E40*P40/240)</f>
        <v/>
      </c>
      <c r="U40" s="9" t="str">
        <f aca="false">IF(Q40="","",IF(MIN(MOD(Q40,32),32-MOD(Q40,32))&lt;=0.25,32,IF(MIN(MOD(Q40,16),16-MOD(Q40,16))&lt;=0.25,16,IF(MIN(MOD(Q40,8),8-MOD(Q40,8))&lt;=0.25,8,""))))</f>
        <v/>
      </c>
      <c r="V40" s="9" t="str">
        <f aca="false">IF(OR(Q40="",T40=""),"",IF(MIN(MOD((Q40+T40),32),32-MOD((Q40+T40),32))&lt;=0.25,32,IF(MIN(MOD((Q40+T40),16),16-MOD((Q40+T40),16))&lt;=0.25,16,IF(MIN(MOD((Q40+T40),8),8-MOD((Q40+T40),8))&lt;=0.25,8,""))))</f>
        <v/>
      </c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9" t="str">
        <f aca="false">IF(A41="","",IFERROR(INDEX(Tracks!$E$2:$E$41,MATCH(A41,Tracks!$A$2:$A$41,0)),"?"))</f>
        <v/>
      </c>
      <c r="P41" s="9" t="str">
        <f aca="false">IF(A41="","",IFERROR(N(INDEX(Tracks!$F$2:$F$41,MATCH(A41,Tracks!$A$2:$A$41,0))),""))</f>
        <v/>
      </c>
      <c r="Q41" s="10" t="str">
        <f aca="false">IF(D41&lt;&gt;"",D41-1,IF(OR(A41="",C41="",N(P41)&lt;=0),"",(N(B41)*60+C41-IFERROR(N(INDEX(Tracks!$G$2:$G$41,MATCH(A41,Tracks!$A$2:$A$41,0))),0))*P41/240))</f>
        <v/>
      </c>
      <c r="R41" s="9" t="str">
        <f aca="false">IF(Q41="","",INT(Q41)+1)</f>
        <v/>
      </c>
      <c r="S41" s="10" t="str">
        <f aca="false">IF(OR(Q41="",D41&lt;&gt;""),"",MIN(4.75,ROUND((Q41-INT(Q41))*16,0)/4+1))</f>
        <v/>
      </c>
      <c r="T41" s="11" t="str">
        <f aca="false">IF(OR(E41="",N(P41)&lt;=0),"",E41*P41/240)</f>
        <v/>
      </c>
      <c r="U41" s="9" t="str">
        <f aca="false">IF(Q41="","",IF(MIN(MOD(Q41,32),32-MOD(Q41,32))&lt;=0.25,32,IF(MIN(MOD(Q41,16),16-MOD(Q41,16))&lt;=0.25,16,IF(MIN(MOD(Q41,8),8-MOD(Q41,8))&lt;=0.25,8,""))))</f>
        <v/>
      </c>
      <c r="V41" s="9" t="str">
        <f aca="false">IF(OR(Q41="",T41=""),"",IF(MIN(MOD((Q41+T41),32),32-MOD((Q41+T41),32))&lt;=0.25,32,IF(MIN(MOD((Q41+T41),16),16-MOD((Q41+T41),16))&lt;=0.25,16,IF(MIN(MOD((Q41+T41),8),8-MOD((Q41+T41),8))&lt;=0.25,8,""))))</f>
        <v/>
      </c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9" t="str">
        <f aca="false">IF(A42="","",IFERROR(INDEX(Tracks!$E$2:$E$41,MATCH(A42,Tracks!$A$2:$A$41,0)),"?"))</f>
        <v/>
      </c>
      <c r="P42" s="9" t="str">
        <f aca="false">IF(A42="","",IFERROR(N(INDEX(Tracks!$F$2:$F$41,MATCH(A42,Tracks!$A$2:$A$41,0))),""))</f>
        <v/>
      </c>
      <c r="Q42" s="10" t="str">
        <f aca="false">IF(D42&lt;&gt;"",D42-1,IF(OR(A42="",C42="",N(P42)&lt;=0),"",(N(B42)*60+C42-IFERROR(N(INDEX(Tracks!$G$2:$G$41,MATCH(A42,Tracks!$A$2:$A$41,0))),0))*P42/240))</f>
        <v/>
      </c>
      <c r="R42" s="9" t="str">
        <f aca="false">IF(Q42="","",INT(Q42)+1)</f>
        <v/>
      </c>
      <c r="S42" s="10" t="str">
        <f aca="false">IF(OR(Q42="",D42&lt;&gt;""),"",MIN(4.75,ROUND((Q42-INT(Q42))*16,0)/4+1))</f>
        <v/>
      </c>
      <c r="T42" s="11" t="str">
        <f aca="false">IF(OR(E42="",N(P42)&lt;=0),"",E42*P42/240)</f>
        <v/>
      </c>
      <c r="U42" s="9" t="str">
        <f aca="false">IF(Q42="","",IF(MIN(MOD(Q42,32),32-MOD(Q42,32))&lt;=0.25,32,IF(MIN(MOD(Q42,16),16-MOD(Q42,16))&lt;=0.25,16,IF(MIN(MOD(Q42,8),8-MOD(Q42,8))&lt;=0.25,8,""))))</f>
        <v/>
      </c>
      <c r="V42" s="9" t="str">
        <f aca="false">IF(OR(Q42="",T42=""),"",IF(MIN(MOD((Q42+T42),32),32-MOD((Q42+T42),32))&lt;=0.25,32,IF(MIN(MOD((Q42+T42),16),16-MOD((Q42+T42),16))&lt;=0.25,16,IF(MIN(MOD((Q42+T42),8),8-MOD((Q42+T42),8))&lt;=0.25,8,""))))</f>
        <v/>
      </c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9" t="str">
        <f aca="false">IF(A43="","",IFERROR(INDEX(Tracks!$E$2:$E$41,MATCH(A43,Tracks!$A$2:$A$41,0)),"?"))</f>
        <v/>
      </c>
      <c r="P43" s="9" t="str">
        <f aca="false">IF(A43="","",IFERROR(N(INDEX(Tracks!$F$2:$F$41,MATCH(A43,Tracks!$A$2:$A$41,0))),""))</f>
        <v/>
      </c>
      <c r="Q43" s="10" t="str">
        <f aca="false">IF(D43&lt;&gt;"",D43-1,IF(OR(A43="",C43="",N(P43)&lt;=0),"",(N(B43)*60+C43-IFERROR(N(INDEX(Tracks!$G$2:$G$41,MATCH(A43,Tracks!$A$2:$A$41,0))),0))*P43/240))</f>
        <v/>
      </c>
      <c r="R43" s="9" t="str">
        <f aca="false">IF(Q43="","",INT(Q43)+1)</f>
        <v/>
      </c>
      <c r="S43" s="10" t="str">
        <f aca="false">IF(OR(Q43="",D43&lt;&gt;""),"",MIN(4.75,ROUND((Q43-INT(Q43))*16,0)/4+1))</f>
        <v/>
      </c>
      <c r="T43" s="11" t="str">
        <f aca="false">IF(OR(E43="",N(P43)&lt;=0),"",E43*P43/240)</f>
        <v/>
      </c>
      <c r="U43" s="9" t="str">
        <f aca="false">IF(Q43="","",IF(MIN(MOD(Q43,32),32-MOD(Q43,32))&lt;=0.25,32,IF(MIN(MOD(Q43,16),16-MOD(Q43,16))&lt;=0.25,16,IF(MIN(MOD(Q43,8),8-MOD(Q43,8))&lt;=0.25,8,""))))</f>
        <v/>
      </c>
      <c r="V43" s="9" t="str">
        <f aca="false">IF(OR(Q43="",T43=""),"",IF(MIN(MOD((Q43+T43),32),32-MOD((Q43+T43),32))&lt;=0.25,32,IF(MIN(MOD((Q43+T43),16),16-MOD((Q43+T43),16))&lt;=0.25,16,IF(MIN(MOD((Q43+T43),8),8-MOD((Q43+T43),8))&lt;=0.25,8,""))))</f>
        <v/>
      </c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9" t="str">
        <f aca="false">IF(A44="","",IFERROR(INDEX(Tracks!$E$2:$E$41,MATCH(A44,Tracks!$A$2:$A$41,0)),"?"))</f>
        <v/>
      </c>
      <c r="P44" s="9" t="str">
        <f aca="false">IF(A44="","",IFERROR(N(INDEX(Tracks!$F$2:$F$41,MATCH(A44,Tracks!$A$2:$A$41,0))),""))</f>
        <v/>
      </c>
      <c r="Q44" s="10" t="str">
        <f aca="false">IF(D44&lt;&gt;"",D44-1,IF(OR(A44="",C44="",N(P44)&lt;=0),"",(N(B44)*60+C44-IFERROR(N(INDEX(Tracks!$G$2:$G$41,MATCH(A44,Tracks!$A$2:$A$41,0))),0))*P44/240))</f>
        <v/>
      </c>
      <c r="R44" s="9" t="str">
        <f aca="false">IF(Q44="","",INT(Q44)+1)</f>
        <v/>
      </c>
      <c r="S44" s="10" t="str">
        <f aca="false">IF(OR(Q44="",D44&lt;&gt;""),"",MIN(4.75,ROUND((Q44-INT(Q44))*16,0)/4+1))</f>
        <v/>
      </c>
      <c r="T44" s="11" t="str">
        <f aca="false">IF(OR(E44="",N(P44)&lt;=0),"",E44*P44/240)</f>
        <v/>
      </c>
      <c r="U44" s="9" t="str">
        <f aca="false">IF(Q44="","",IF(MIN(MOD(Q44,32),32-MOD(Q44,32))&lt;=0.25,32,IF(MIN(MOD(Q44,16),16-MOD(Q44,16))&lt;=0.25,16,IF(MIN(MOD(Q44,8),8-MOD(Q44,8))&lt;=0.25,8,""))))</f>
        <v/>
      </c>
      <c r="V44" s="9" t="str">
        <f aca="false">IF(OR(Q44="",T44=""),"",IF(MIN(MOD((Q44+T44),32),32-MOD((Q44+T44),32))&lt;=0.25,32,IF(MIN(MOD((Q44+T44),16),16-MOD((Q44+T44),16))&lt;=0.25,16,IF(MIN(MOD((Q44+T44),8),8-MOD((Q44+T44),8))&lt;=0.25,8,""))))</f>
        <v/>
      </c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9" t="str">
        <f aca="false">IF(A45="","",IFERROR(INDEX(Tracks!$E$2:$E$41,MATCH(A45,Tracks!$A$2:$A$41,0)),"?"))</f>
        <v/>
      </c>
      <c r="P45" s="9" t="str">
        <f aca="false">IF(A45="","",IFERROR(N(INDEX(Tracks!$F$2:$F$41,MATCH(A45,Tracks!$A$2:$A$41,0))),""))</f>
        <v/>
      </c>
      <c r="Q45" s="10" t="str">
        <f aca="false">IF(D45&lt;&gt;"",D45-1,IF(OR(A45="",C45="",N(P45)&lt;=0),"",(N(B45)*60+C45-IFERROR(N(INDEX(Tracks!$G$2:$G$41,MATCH(A45,Tracks!$A$2:$A$41,0))),0))*P45/240))</f>
        <v/>
      </c>
      <c r="R45" s="9" t="str">
        <f aca="false">IF(Q45="","",INT(Q45)+1)</f>
        <v/>
      </c>
      <c r="S45" s="10" t="str">
        <f aca="false">IF(OR(Q45="",D45&lt;&gt;""),"",MIN(4.75,ROUND((Q45-INT(Q45))*16,0)/4+1))</f>
        <v/>
      </c>
      <c r="T45" s="11" t="str">
        <f aca="false">IF(OR(E45="",N(P45)&lt;=0),"",E45*P45/240)</f>
        <v/>
      </c>
      <c r="U45" s="9" t="str">
        <f aca="false">IF(Q45="","",IF(MIN(MOD(Q45,32),32-MOD(Q45,32))&lt;=0.25,32,IF(MIN(MOD(Q45,16),16-MOD(Q45,16))&lt;=0.25,16,IF(MIN(MOD(Q45,8),8-MOD(Q45,8))&lt;=0.25,8,""))))</f>
        <v/>
      </c>
      <c r="V45" s="9" t="str">
        <f aca="false">IF(OR(Q45="",T45=""),"",IF(MIN(MOD((Q45+T45),32),32-MOD((Q45+T45),32))&lt;=0.25,32,IF(MIN(MOD((Q45+T45),16),16-MOD((Q45+T45),16))&lt;=0.25,16,IF(MIN(MOD((Q45+T45),8),8-MOD((Q45+T45),8))&lt;=0.25,8,""))))</f>
        <v/>
      </c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9" t="str">
        <f aca="false">IF(A46="","",IFERROR(INDEX(Tracks!$E$2:$E$41,MATCH(A46,Tracks!$A$2:$A$41,0)),"?"))</f>
        <v/>
      </c>
      <c r="P46" s="9" t="str">
        <f aca="false">IF(A46="","",IFERROR(N(INDEX(Tracks!$F$2:$F$41,MATCH(A46,Tracks!$A$2:$A$41,0))),""))</f>
        <v/>
      </c>
      <c r="Q46" s="10" t="str">
        <f aca="false">IF(D46&lt;&gt;"",D46-1,IF(OR(A46="",C46="",N(P46)&lt;=0),"",(N(B46)*60+C46-IFERROR(N(INDEX(Tracks!$G$2:$G$41,MATCH(A46,Tracks!$A$2:$A$41,0))),0))*P46/240))</f>
        <v/>
      </c>
      <c r="R46" s="9" t="str">
        <f aca="false">IF(Q46="","",INT(Q46)+1)</f>
        <v/>
      </c>
      <c r="S46" s="10" t="str">
        <f aca="false">IF(OR(Q46="",D46&lt;&gt;""),"",MIN(4.75,ROUND((Q46-INT(Q46))*16,0)/4+1))</f>
        <v/>
      </c>
      <c r="T46" s="11" t="str">
        <f aca="false">IF(OR(E46="",N(P46)&lt;=0),"",E46*P46/240)</f>
        <v/>
      </c>
      <c r="U46" s="9" t="str">
        <f aca="false">IF(Q46="","",IF(MIN(MOD(Q46,32),32-MOD(Q46,32))&lt;=0.25,32,IF(MIN(MOD(Q46,16),16-MOD(Q46,16))&lt;=0.25,16,IF(MIN(MOD(Q46,8),8-MOD(Q46,8))&lt;=0.25,8,""))))</f>
        <v/>
      </c>
      <c r="V46" s="9" t="str">
        <f aca="false">IF(OR(Q46="",T46=""),"",IF(MIN(MOD((Q46+T46),32),32-MOD((Q46+T46),32))&lt;=0.25,32,IF(MIN(MOD((Q46+T46),16),16-MOD((Q46+T46),16))&lt;=0.25,16,IF(MIN(MOD((Q46+T46),8),8-MOD((Q46+T46),8))&lt;=0.25,8,""))))</f>
        <v/>
      </c>
    </row>
    <row r="47" customFormat="false" ht="1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9" t="str">
        <f aca="false">IF(A47="","",IFERROR(INDEX(Tracks!$E$2:$E$41,MATCH(A47,Tracks!$A$2:$A$41,0)),"?"))</f>
        <v/>
      </c>
      <c r="P47" s="9" t="str">
        <f aca="false">IF(A47="","",IFERROR(N(INDEX(Tracks!$F$2:$F$41,MATCH(A47,Tracks!$A$2:$A$41,0))),""))</f>
        <v/>
      </c>
      <c r="Q47" s="10" t="str">
        <f aca="false">IF(D47&lt;&gt;"",D47-1,IF(OR(A47="",C47="",N(P47)&lt;=0),"",(N(B47)*60+C47-IFERROR(N(INDEX(Tracks!$G$2:$G$41,MATCH(A47,Tracks!$A$2:$A$41,0))),0))*P47/240))</f>
        <v/>
      </c>
      <c r="R47" s="9" t="str">
        <f aca="false">IF(Q47="","",INT(Q47)+1)</f>
        <v/>
      </c>
      <c r="S47" s="10" t="str">
        <f aca="false">IF(OR(Q47="",D47&lt;&gt;""),"",MIN(4.75,ROUND((Q47-INT(Q47))*16,0)/4+1))</f>
        <v/>
      </c>
      <c r="T47" s="11" t="str">
        <f aca="false">IF(OR(E47="",N(P47)&lt;=0),"",E47*P47/240)</f>
        <v/>
      </c>
      <c r="U47" s="9" t="str">
        <f aca="false">IF(Q47="","",IF(MIN(MOD(Q47,32),32-MOD(Q47,32))&lt;=0.25,32,IF(MIN(MOD(Q47,16),16-MOD(Q47,16))&lt;=0.25,16,IF(MIN(MOD(Q47,8),8-MOD(Q47,8))&lt;=0.25,8,""))))</f>
        <v/>
      </c>
      <c r="V47" s="9" t="str">
        <f aca="false">IF(OR(Q47="",T47=""),"",IF(MIN(MOD((Q47+T47),32),32-MOD((Q47+T47),32))&lt;=0.25,32,IF(MIN(MOD((Q47+T47),16),16-MOD((Q47+T47),16))&lt;=0.25,16,IF(MIN(MOD((Q47+T47),8),8-MOD((Q47+T47),8))&lt;=0.25,8,""))))</f>
        <v/>
      </c>
    </row>
    <row r="48" customFormat="false" ht="1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9" t="str">
        <f aca="false">IF(A48="","",IFERROR(INDEX(Tracks!$E$2:$E$41,MATCH(A48,Tracks!$A$2:$A$41,0)),"?"))</f>
        <v/>
      </c>
      <c r="P48" s="9" t="str">
        <f aca="false">IF(A48="","",IFERROR(N(INDEX(Tracks!$F$2:$F$41,MATCH(A48,Tracks!$A$2:$A$41,0))),""))</f>
        <v/>
      </c>
      <c r="Q48" s="10" t="str">
        <f aca="false">IF(D48&lt;&gt;"",D48-1,IF(OR(A48="",C48="",N(P48)&lt;=0),"",(N(B48)*60+C48-IFERROR(N(INDEX(Tracks!$G$2:$G$41,MATCH(A48,Tracks!$A$2:$A$41,0))),0))*P48/240))</f>
        <v/>
      </c>
      <c r="R48" s="9" t="str">
        <f aca="false">IF(Q48="","",INT(Q48)+1)</f>
        <v/>
      </c>
      <c r="S48" s="10" t="str">
        <f aca="false">IF(OR(Q48="",D48&lt;&gt;""),"",MIN(4.75,ROUND((Q48-INT(Q48))*16,0)/4+1))</f>
        <v/>
      </c>
      <c r="T48" s="11" t="str">
        <f aca="false">IF(OR(E48="",N(P48)&lt;=0),"",E48*P48/240)</f>
        <v/>
      </c>
      <c r="U48" s="9" t="str">
        <f aca="false">IF(Q48="","",IF(MIN(MOD(Q48,32),32-MOD(Q48,32))&lt;=0.25,32,IF(MIN(MOD(Q48,16),16-MOD(Q48,16))&lt;=0.25,16,IF(MIN(MOD(Q48,8),8-MOD(Q48,8))&lt;=0.25,8,""))))</f>
        <v/>
      </c>
      <c r="V48" s="9" t="str">
        <f aca="false">IF(OR(Q48="",T48=""),"",IF(MIN(MOD((Q48+T48),32),32-MOD((Q48+T48),32))&lt;=0.25,32,IF(MIN(MOD((Q48+T48),16),16-MOD((Q48+T48),16))&lt;=0.25,16,IF(MIN(MOD((Q48+T48),8),8-MOD((Q48+T48),8))&lt;=0.25,8,""))))</f>
        <v/>
      </c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9" t="str">
        <f aca="false">IF(A49="","",IFERROR(INDEX(Tracks!$E$2:$E$41,MATCH(A49,Tracks!$A$2:$A$41,0)),"?"))</f>
        <v/>
      </c>
      <c r="P49" s="9" t="str">
        <f aca="false">IF(A49="","",IFERROR(N(INDEX(Tracks!$F$2:$F$41,MATCH(A49,Tracks!$A$2:$A$41,0))),""))</f>
        <v/>
      </c>
      <c r="Q49" s="10" t="str">
        <f aca="false">IF(D49&lt;&gt;"",D49-1,IF(OR(A49="",C49="",N(P49)&lt;=0),"",(N(B49)*60+C49-IFERROR(N(INDEX(Tracks!$G$2:$G$41,MATCH(A49,Tracks!$A$2:$A$41,0))),0))*P49/240))</f>
        <v/>
      </c>
      <c r="R49" s="9" t="str">
        <f aca="false">IF(Q49="","",INT(Q49)+1)</f>
        <v/>
      </c>
      <c r="S49" s="10" t="str">
        <f aca="false">IF(OR(Q49="",D49&lt;&gt;""),"",MIN(4.75,ROUND((Q49-INT(Q49))*16,0)/4+1))</f>
        <v/>
      </c>
      <c r="T49" s="11" t="str">
        <f aca="false">IF(OR(E49="",N(P49)&lt;=0),"",E49*P49/240)</f>
        <v/>
      </c>
      <c r="U49" s="9" t="str">
        <f aca="false">IF(Q49="","",IF(MIN(MOD(Q49,32),32-MOD(Q49,32))&lt;=0.25,32,IF(MIN(MOD(Q49,16),16-MOD(Q49,16))&lt;=0.25,16,IF(MIN(MOD(Q49,8),8-MOD(Q49,8))&lt;=0.25,8,""))))</f>
        <v/>
      </c>
      <c r="V49" s="9" t="str">
        <f aca="false">IF(OR(Q49="",T49=""),"",IF(MIN(MOD((Q49+T49),32),32-MOD((Q49+T49),32))&lt;=0.25,32,IF(MIN(MOD((Q49+T49),16),16-MOD((Q49+T49),16))&lt;=0.25,16,IF(MIN(MOD((Q49+T49),8),8-MOD((Q49+T49),8))&lt;=0.25,8,""))))</f>
        <v/>
      </c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9" t="str">
        <f aca="false">IF(A50="","",IFERROR(INDEX(Tracks!$E$2:$E$41,MATCH(A50,Tracks!$A$2:$A$41,0)),"?"))</f>
        <v/>
      </c>
      <c r="P50" s="9" t="str">
        <f aca="false">IF(A50="","",IFERROR(N(INDEX(Tracks!$F$2:$F$41,MATCH(A50,Tracks!$A$2:$A$41,0))),""))</f>
        <v/>
      </c>
      <c r="Q50" s="10" t="str">
        <f aca="false">IF(D50&lt;&gt;"",D50-1,IF(OR(A50="",C50="",N(P50)&lt;=0),"",(N(B50)*60+C50-IFERROR(N(INDEX(Tracks!$G$2:$G$41,MATCH(A50,Tracks!$A$2:$A$41,0))),0))*P50/240))</f>
        <v/>
      </c>
      <c r="R50" s="9" t="str">
        <f aca="false">IF(Q50="","",INT(Q50)+1)</f>
        <v/>
      </c>
      <c r="S50" s="10" t="str">
        <f aca="false">IF(OR(Q50="",D50&lt;&gt;""),"",MIN(4.75,ROUND((Q50-INT(Q50))*16,0)/4+1))</f>
        <v/>
      </c>
      <c r="T50" s="11" t="str">
        <f aca="false">IF(OR(E50="",N(P50)&lt;=0),"",E50*P50/240)</f>
        <v/>
      </c>
      <c r="U50" s="9" t="str">
        <f aca="false">IF(Q50="","",IF(MIN(MOD(Q50,32),32-MOD(Q50,32))&lt;=0.25,32,IF(MIN(MOD(Q50,16),16-MOD(Q50,16))&lt;=0.25,16,IF(MIN(MOD(Q50,8),8-MOD(Q50,8))&lt;=0.25,8,""))))</f>
        <v/>
      </c>
      <c r="V50" s="9" t="str">
        <f aca="false">IF(OR(Q50="",T50=""),"",IF(MIN(MOD((Q50+T50),32),32-MOD((Q50+T50),32))&lt;=0.25,32,IF(MIN(MOD((Q50+T50),16),16-MOD((Q50+T50),16))&lt;=0.25,16,IF(MIN(MOD((Q50+T50),8),8-MOD((Q50+T50),8))&lt;=0.25,8,""))))</f>
        <v/>
      </c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9" t="str">
        <f aca="false">IF(A51="","",IFERROR(INDEX(Tracks!$E$2:$E$41,MATCH(A51,Tracks!$A$2:$A$41,0)),"?"))</f>
        <v/>
      </c>
      <c r="P51" s="9" t="str">
        <f aca="false">IF(A51="","",IFERROR(N(INDEX(Tracks!$F$2:$F$41,MATCH(A51,Tracks!$A$2:$A$41,0))),""))</f>
        <v/>
      </c>
      <c r="Q51" s="10" t="str">
        <f aca="false">IF(D51&lt;&gt;"",D51-1,IF(OR(A51="",C51="",N(P51)&lt;=0),"",(N(B51)*60+C51-IFERROR(N(INDEX(Tracks!$G$2:$G$41,MATCH(A51,Tracks!$A$2:$A$41,0))),0))*P51/240))</f>
        <v/>
      </c>
      <c r="R51" s="9" t="str">
        <f aca="false">IF(Q51="","",INT(Q51)+1)</f>
        <v/>
      </c>
      <c r="S51" s="10" t="str">
        <f aca="false">IF(OR(Q51="",D51&lt;&gt;""),"",MIN(4.75,ROUND((Q51-INT(Q51))*16,0)/4+1))</f>
        <v/>
      </c>
      <c r="T51" s="11" t="str">
        <f aca="false">IF(OR(E51="",N(P51)&lt;=0),"",E51*P51/240)</f>
        <v/>
      </c>
      <c r="U51" s="9" t="str">
        <f aca="false">IF(Q51="","",IF(MIN(MOD(Q51,32),32-MOD(Q51,32))&lt;=0.25,32,IF(MIN(MOD(Q51,16),16-MOD(Q51,16))&lt;=0.25,16,IF(MIN(MOD(Q51,8),8-MOD(Q51,8))&lt;=0.25,8,""))))</f>
        <v/>
      </c>
      <c r="V51" s="9" t="str">
        <f aca="false">IF(OR(Q51="",T51=""),"",IF(MIN(MOD((Q51+T51),32),32-MOD((Q51+T51),32))&lt;=0.25,32,IF(MIN(MOD((Q51+T51),16),16-MOD((Q51+T51),16))&lt;=0.25,16,IF(MIN(MOD((Q51+T51),8),8-MOD((Q51+T51),8))&lt;=0.25,8,""))))</f>
        <v/>
      </c>
    </row>
    <row r="52" customFormat="false" ht="1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9" t="str">
        <f aca="false">IF(A52="","",IFERROR(INDEX(Tracks!$E$2:$E$41,MATCH(A52,Tracks!$A$2:$A$41,0)),"?"))</f>
        <v/>
      </c>
      <c r="P52" s="9" t="str">
        <f aca="false">IF(A52="","",IFERROR(N(INDEX(Tracks!$F$2:$F$41,MATCH(A52,Tracks!$A$2:$A$41,0))),""))</f>
        <v/>
      </c>
      <c r="Q52" s="10" t="str">
        <f aca="false">IF(D52&lt;&gt;"",D52-1,IF(OR(A52="",C52="",N(P52)&lt;=0),"",(N(B52)*60+C52-IFERROR(N(INDEX(Tracks!$G$2:$G$41,MATCH(A52,Tracks!$A$2:$A$41,0))),0))*P52/240))</f>
        <v/>
      </c>
      <c r="R52" s="9" t="str">
        <f aca="false">IF(Q52="","",INT(Q52)+1)</f>
        <v/>
      </c>
      <c r="S52" s="10" t="str">
        <f aca="false">IF(OR(Q52="",D52&lt;&gt;""),"",MIN(4.75,ROUND((Q52-INT(Q52))*16,0)/4+1))</f>
        <v/>
      </c>
      <c r="T52" s="11" t="str">
        <f aca="false">IF(OR(E52="",N(P52)&lt;=0),"",E52*P52/240)</f>
        <v/>
      </c>
      <c r="U52" s="9" t="str">
        <f aca="false">IF(Q52="","",IF(MIN(MOD(Q52,32),32-MOD(Q52,32))&lt;=0.25,32,IF(MIN(MOD(Q52,16),16-MOD(Q52,16))&lt;=0.25,16,IF(MIN(MOD(Q52,8),8-MOD(Q52,8))&lt;=0.25,8,""))))</f>
        <v/>
      </c>
      <c r="V52" s="9" t="str">
        <f aca="false">IF(OR(Q52="",T52=""),"",IF(MIN(MOD((Q52+T52),32),32-MOD((Q52+T52),32))&lt;=0.25,32,IF(MIN(MOD((Q52+T52),16),16-MOD((Q52+T52),16))&lt;=0.25,16,IF(MIN(MOD((Q52+T52),8),8-MOD((Q52+T52),8))&lt;=0.25,8,""))))</f>
        <v/>
      </c>
    </row>
    <row r="53" customFormat="false" ht="1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9" t="str">
        <f aca="false">IF(A53="","",IFERROR(INDEX(Tracks!$E$2:$E$41,MATCH(A53,Tracks!$A$2:$A$41,0)),"?"))</f>
        <v/>
      </c>
      <c r="P53" s="9" t="str">
        <f aca="false">IF(A53="","",IFERROR(N(INDEX(Tracks!$F$2:$F$41,MATCH(A53,Tracks!$A$2:$A$41,0))),""))</f>
        <v/>
      </c>
      <c r="Q53" s="10" t="str">
        <f aca="false">IF(D53&lt;&gt;"",D53-1,IF(OR(A53="",C53="",N(P53)&lt;=0),"",(N(B53)*60+C53-IFERROR(N(INDEX(Tracks!$G$2:$G$41,MATCH(A53,Tracks!$A$2:$A$41,0))),0))*P53/240))</f>
        <v/>
      </c>
      <c r="R53" s="9" t="str">
        <f aca="false">IF(Q53="","",INT(Q53)+1)</f>
        <v/>
      </c>
      <c r="S53" s="10" t="str">
        <f aca="false">IF(OR(Q53="",D53&lt;&gt;""),"",MIN(4.75,ROUND((Q53-INT(Q53))*16,0)/4+1))</f>
        <v/>
      </c>
      <c r="T53" s="11" t="str">
        <f aca="false">IF(OR(E53="",N(P53)&lt;=0),"",E53*P53/240)</f>
        <v/>
      </c>
      <c r="U53" s="9" t="str">
        <f aca="false">IF(Q53="","",IF(MIN(MOD(Q53,32),32-MOD(Q53,32))&lt;=0.25,32,IF(MIN(MOD(Q53,16),16-MOD(Q53,16))&lt;=0.25,16,IF(MIN(MOD(Q53,8),8-MOD(Q53,8))&lt;=0.25,8,""))))</f>
        <v/>
      </c>
      <c r="V53" s="9" t="str">
        <f aca="false">IF(OR(Q53="",T53=""),"",IF(MIN(MOD((Q53+T53),32),32-MOD((Q53+T53),32))&lt;=0.25,32,IF(MIN(MOD((Q53+T53),16),16-MOD((Q53+T53),16))&lt;=0.25,16,IF(MIN(MOD((Q53+T53),8),8-MOD((Q53+T53),8))&lt;=0.25,8,""))))</f>
        <v/>
      </c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9" t="str">
        <f aca="false">IF(A54="","",IFERROR(INDEX(Tracks!$E$2:$E$41,MATCH(A54,Tracks!$A$2:$A$41,0)),"?"))</f>
        <v/>
      </c>
      <c r="P54" s="9" t="str">
        <f aca="false">IF(A54="","",IFERROR(N(INDEX(Tracks!$F$2:$F$41,MATCH(A54,Tracks!$A$2:$A$41,0))),""))</f>
        <v/>
      </c>
      <c r="Q54" s="10" t="str">
        <f aca="false">IF(D54&lt;&gt;"",D54-1,IF(OR(A54="",C54="",N(P54)&lt;=0),"",(N(B54)*60+C54-IFERROR(N(INDEX(Tracks!$G$2:$G$41,MATCH(A54,Tracks!$A$2:$A$41,0))),0))*P54/240))</f>
        <v/>
      </c>
      <c r="R54" s="9" t="str">
        <f aca="false">IF(Q54="","",INT(Q54)+1)</f>
        <v/>
      </c>
      <c r="S54" s="10" t="str">
        <f aca="false">IF(OR(Q54="",D54&lt;&gt;""),"",MIN(4.75,ROUND((Q54-INT(Q54))*16,0)/4+1))</f>
        <v/>
      </c>
      <c r="T54" s="11" t="str">
        <f aca="false">IF(OR(E54="",N(P54)&lt;=0),"",E54*P54/240)</f>
        <v/>
      </c>
      <c r="U54" s="9" t="str">
        <f aca="false">IF(Q54="","",IF(MIN(MOD(Q54,32),32-MOD(Q54,32))&lt;=0.25,32,IF(MIN(MOD(Q54,16),16-MOD(Q54,16))&lt;=0.25,16,IF(MIN(MOD(Q54,8),8-MOD(Q54,8))&lt;=0.25,8,""))))</f>
        <v/>
      </c>
      <c r="V54" s="9" t="str">
        <f aca="false">IF(OR(Q54="",T54=""),"",IF(MIN(MOD((Q54+T54),32),32-MOD((Q54+T54),32))&lt;=0.25,32,IF(MIN(MOD((Q54+T54),16),16-MOD((Q54+T54),16))&lt;=0.25,16,IF(MIN(MOD((Q54+T54),8),8-MOD((Q54+T54),8))&lt;=0.25,8,""))))</f>
        <v/>
      </c>
    </row>
    <row r="55" customFormat="false" ht="1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9" t="str">
        <f aca="false">IF(A55="","",IFERROR(INDEX(Tracks!$E$2:$E$41,MATCH(A55,Tracks!$A$2:$A$41,0)),"?"))</f>
        <v/>
      </c>
      <c r="P55" s="9" t="str">
        <f aca="false">IF(A55="","",IFERROR(N(INDEX(Tracks!$F$2:$F$41,MATCH(A55,Tracks!$A$2:$A$41,0))),""))</f>
        <v/>
      </c>
      <c r="Q55" s="10" t="str">
        <f aca="false">IF(D55&lt;&gt;"",D55-1,IF(OR(A55="",C55="",N(P55)&lt;=0),"",(N(B55)*60+C55-IFERROR(N(INDEX(Tracks!$G$2:$G$41,MATCH(A55,Tracks!$A$2:$A$41,0))),0))*P55/240))</f>
        <v/>
      </c>
      <c r="R55" s="9" t="str">
        <f aca="false">IF(Q55="","",INT(Q55)+1)</f>
        <v/>
      </c>
      <c r="S55" s="10" t="str">
        <f aca="false">IF(OR(Q55="",D55&lt;&gt;""),"",MIN(4.75,ROUND((Q55-INT(Q55))*16,0)/4+1))</f>
        <v/>
      </c>
      <c r="T55" s="11" t="str">
        <f aca="false">IF(OR(E55="",N(P55)&lt;=0),"",E55*P55/240)</f>
        <v/>
      </c>
      <c r="U55" s="9" t="str">
        <f aca="false">IF(Q55="","",IF(MIN(MOD(Q55,32),32-MOD(Q55,32))&lt;=0.25,32,IF(MIN(MOD(Q55,16),16-MOD(Q55,16))&lt;=0.25,16,IF(MIN(MOD(Q55,8),8-MOD(Q55,8))&lt;=0.25,8,""))))</f>
        <v/>
      </c>
      <c r="V55" s="9" t="str">
        <f aca="false">IF(OR(Q55="",T55=""),"",IF(MIN(MOD((Q55+T55),32),32-MOD((Q55+T55),32))&lt;=0.25,32,IF(MIN(MOD((Q55+T55),16),16-MOD((Q55+T55),16))&lt;=0.25,16,IF(MIN(MOD((Q55+T55),8),8-MOD((Q55+T55),8))&lt;=0.25,8,""))))</f>
        <v/>
      </c>
    </row>
    <row r="56" customFormat="false" ht="1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9" t="str">
        <f aca="false">IF(A56="","",IFERROR(INDEX(Tracks!$E$2:$E$41,MATCH(A56,Tracks!$A$2:$A$41,0)),"?"))</f>
        <v/>
      </c>
      <c r="P56" s="9" t="str">
        <f aca="false">IF(A56="","",IFERROR(N(INDEX(Tracks!$F$2:$F$41,MATCH(A56,Tracks!$A$2:$A$41,0))),""))</f>
        <v/>
      </c>
      <c r="Q56" s="10" t="str">
        <f aca="false">IF(D56&lt;&gt;"",D56-1,IF(OR(A56="",C56="",N(P56)&lt;=0),"",(N(B56)*60+C56-IFERROR(N(INDEX(Tracks!$G$2:$G$41,MATCH(A56,Tracks!$A$2:$A$41,0))),0))*P56/240))</f>
        <v/>
      </c>
      <c r="R56" s="9" t="str">
        <f aca="false">IF(Q56="","",INT(Q56)+1)</f>
        <v/>
      </c>
      <c r="S56" s="10" t="str">
        <f aca="false">IF(OR(Q56="",D56&lt;&gt;""),"",MIN(4.75,ROUND((Q56-INT(Q56))*16,0)/4+1))</f>
        <v/>
      </c>
      <c r="T56" s="11" t="str">
        <f aca="false">IF(OR(E56="",N(P56)&lt;=0),"",E56*P56/240)</f>
        <v/>
      </c>
      <c r="U56" s="9" t="str">
        <f aca="false">IF(Q56="","",IF(MIN(MOD(Q56,32),32-MOD(Q56,32))&lt;=0.25,32,IF(MIN(MOD(Q56,16),16-MOD(Q56,16))&lt;=0.25,16,IF(MIN(MOD(Q56,8),8-MOD(Q56,8))&lt;=0.25,8,""))))</f>
        <v/>
      </c>
      <c r="V56" s="9" t="str">
        <f aca="false">IF(OR(Q56="",T56=""),"",IF(MIN(MOD((Q56+T56),32),32-MOD((Q56+T56),32))&lt;=0.25,32,IF(MIN(MOD((Q56+T56),16),16-MOD((Q56+T56),16))&lt;=0.25,16,IF(MIN(MOD((Q56+T56),8),8-MOD((Q56+T56),8))&lt;=0.25,8,""))))</f>
        <v/>
      </c>
    </row>
    <row r="57" customFormat="false" ht="1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9" t="str">
        <f aca="false">IF(A57="","",IFERROR(INDEX(Tracks!$E$2:$E$41,MATCH(A57,Tracks!$A$2:$A$41,0)),"?"))</f>
        <v/>
      </c>
      <c r="P57" s="9" t="str">
        <f aca="false">IF(A57="","",IFERROR(N(INDEX(Tracks!$F$2:$F$41,MATCH(A57,Tracks!$A$2:$A$41,0))),""))</f>
        <v/>
      </c>
      <c r="Q57" s="10" t="str">
        <f aca="false">IF(D57&lt;&gt;"",D57-1,IF(OR(A57="",C57="",N(P57)&lt;=0),"",(N(B57)*60+C57-IFERROR(N(INDEX(Tracks!$G$2:$G$41,MATCH(A57,Tracks!$A$2:$A$41,0))),0))*P57/240))</f>
        <v/>
      </c>
      <c r="R57" s="9" t="str">
        <f aca="false">IF(Q57="","",INT(Q57)+1)</f>
        <v/>
      </c>
      <c r="S57" s="10" t="str">
        <f aca="false">IF(OR(Q57="",D57&lt;&gt;""),"",MIN(4.75,ROUND((Q57-INT(Q57))*16,0)/4+1))</f>
        <v/>
      </c>
      <c r="T57" s="11" t="str">
        <f aca="false">IF(OR(E57="",N(P57)&lt;=0),"",E57*P57/240)</f>
        <v/>
      </c>
      <c r="U57" s="9" t="str">
        <f aca="false">IF(Q57="","",IF(MIN(MOD(Q57,32),32-MOD(Q57,32))&lt;=0.25,32,IF(MIN(MOD(Q57,16),16-MOD(Q57,16))&lt;=0.25,16,IF(MIN(MOD(Q57,8),8-MOD(Q57,8))&lt;=0.25,8,""))))</f>
        <v/>
      </c>
      <c r="V57" s="9" t="str">
        <f aca="false">IF(OR(Q57="",T57=""),"",IF(MIN(MOD((Q57+T57),32),32-MOD((Q57+T57),32))&lt;=0.25,32,IF(MIN(MOD((Q57+T57),16),16-MOD((Q57+T57),16))&lt;=0.25,16,IF(MIN(MOD((Q57+T57),8),8-MOD((Q57+T57),8))&lt;=0.25,8,""))))</f>
        <v/>
      </c>
    </row>
    <row r="58" customFormat="false" ht="1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9" t="str">
        <f aca="false">IF(A58="","",IFERROR(INDEX(Tracks!$E$2:$E$41,MATCH(A58,Tracks!$A$2:$A$41,0)),"?"))</f>
        <v/>
      </c>
      <c r="P58" s="9" t="str">
        <f aca="false">IF(A58="","",IFERROR(N(INDEX(Tracks!$F$2:$F$41,MATCH(A58,Tracks!$A$2:$A$41,0))),""))</f>
        <v/>
      </c>
      <c r="Q58" s="10" t="str">
        <f aca="false">IF(D58&lt;&gt;"",D58-1,IF(OR(A58="",C58="",N(P58)&lt;=0),"",(N(B58)*60+C58-IFERROR(N(INDEX(Tracks!$G$2:$G$41,MATCH(A58,Tracks!$A$2:$A$41,0))),0))*P58/240))</f>
        <v/>
      </c>
      <c r="R58" s="9" t="str">
        <f aca="false">IF(Q58="","",INT(Q58)+1)</f>
        <v/>
      </c>
      <c r="S58" s="10" t="str">
        <f aca="false">IF(OR(Q58="",D58&lt;&gt;""),"",MIN(4.75,ROUND((Q58-INT(Q58))*16,0)/4+1))</f>
        <v/>
      </c>
      <c r="T58" s="11" t="str">
        <f aca="false">IF(OR(E58="",N(P58)&lt;=0),"",E58*P58/240)</f>
        <v/>
      </c>
      <c r="U58" s="9" t="str">
        <f aca="false">IF(Q58="","",IF(MIN(MOD(Q58,32),32-MOD(Q58,32))&lt;=0.25,32,IF(MIN(MOD(Q58,16),16-MOD(Q58,16))&lt;=0.25,16,IF(MIN(MOD(Q58,8),8-MOD(Q58,8))&lt;=0.25,8,""))))</f>
        <v/>
      </c>
      <c r="V58" s="9" t="str">
        <f aca="false">IF(OR(Q58="",T58=""),"",IF(MIN(MOD((Q58+T58),32),32-MOD((Q58+T58),32))&lt;=0.25,32,IF(MIN(MOD((Q58+T58),16),16-MOD((Q58+T58),16))&lt;=0.25,16,IF(MIN(MOD((Q58+T58),8),8-MOD((Q58+T58),8))&lt;=0.25,8,""))))</f>
        <v/>
      </c>
    </row>
    <row r="59" customFormat="false" ht="1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9" t="str">
        <f aca="false">IF(A59="","",IFERROR(INDEX(Tracks!$E$2:$E$41,MATCH(A59,Tracks!$A$2:$A$41,0)),"?"))</f>
        <v/>
      </c>
      <c r="P59" s="9" t="str">
        <f aca="false">IF(A59="","",IFERROR(N(INDEX(Tracks!$F$2:$F$41,MATCH(A59,Tracks!$A$2:$A$41,0))),""))</f>
        <v/>
      </c>
      <c r="Q59" s="10" t="str">
        <f aca="false">IF(D59&lt;&gt;"",D59-1,IF(OR(A59="",C59="",N(P59)&lt;=0),"",(N(B59)*60+C59-IFERROR(N(INDEX(Tracks!$G$2:$G$41,MATCH(A59,Tracks!$A$2:$A$41,0))),0))*P59/240))</f>
        <v/>
      </c>
      <c r="R59" s="9" t="str">
        <f aca="false">IF(Q59="","",INT(Q59)+1)</f>
        <v/>
      </c>
      <c r="S59" s="10" t="str">
        <f aca="false">IF(OR(Q59="",D59&lt;&gt;""),"",MIN(4.75,ROUND((Q59-INT(Q59))*16,0)/4+1))</f>
        <v/>
      </c>
      <c r="T59" s="11" t="str">
        <f aca="false">IF(OR(E59="",N(P59)&lt;=0),"",E59*P59/240)</f>
        <v/>
      </c>
      <c r="U59" s="9" t="str">
        <f aca="false">IF(Q59="","",IF(MIN(MOD(Q59,32),32-MOD(Q59,32))&lt;=0.25,32,IF(MIN(MOD(Q59,16),16-MOD(Q59,16))&lt;=0.25,16,IF(MIN(MOD(Q59,8),8-MOD(Q59,8))&lt;=0.25,8,""))))</f>
        <v/>
      </c>
      <c r="V59" s="9" t="str">
        <f aca="false">IF(OR(Q59="",T59=""),"",IF(MIN(MOD((Q59+T59),32),32-MOD((Q59+T59),32))&lt;=0.25,32,IF(MIN(MOD((Q59+T59),16),16-MOD((Q59+T59),16))&lt;=0.25,16,IF(MIN(MOD((Q59+T59),8),8-MOD((Q59+T59),8))&lt;=0.25,8,""))))</f>
        <v/>
      </c>
    </row>
    <row r="60" customFormat="false" ht="1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9" t="str">
        <f aca="false">IF(A60="","",IFERROR(INDEX(Tracks!$E$2:$E$41,MATCH(A60,Tracks!$A$2:$A$41,0)),"?"))</f>
        <v/>
      </c>
      <c r="P60" s="9" t="str">
        <f aca="false">IF(A60="","",IFERROR(N(INDEX(Tracks!$F$2:$F$41,MATCH(A60,Tracks!$A$2:$A$41,0))),""))</f>
        <v/>
      </c>
      <c r="Q60" s="10" t="str">
        <f aca="false">IF(D60&lt;&gt;"",D60-1,IF(OR(A60="",C60="",N(P60)&lt;=0),"",(N(B60)*60+C60-IFERROR(N(INDEX(Tracks!$G$2:$G$41,MATCH(A60,Tracks!$A$2:$A$41,0))),0))*P60/240))</f>
        <v/>
      </c>
      <c r="R60" s="9" t="str">
        <f aca="false">IF(Q60="","",INT(Q60)+1)</f>
        <v/>
      </c>
      <c r="S60" s="10" t="str">
        <f aca="false">IF(OR(Q60="",D60&lt;&gt;""),"",MIN(4.75,ROUND((Q60-INT(Q60))*16,0)/4+1))</f>
        <v/>
      </c>
      <c r="T60" s="11" t="str">
        <f aca="false">IF(OR(E60="",N(P60)&lt;=0),"",E60*P60/240)</f>
        <v/>
      </c>
      <c r="U60" s="9" t="str">
        <f aca="false">IF(Q60="","",IF(MIN(MOD(Q60,32),32-MOD(Q60,32))&lt;=0.25,32,IF(MIN(MOD(Q60,16),16-MOD(Q60,16))&lt;=0.25,16,IF(MIN(MOD(Q60,8),8-MOD(Q60,8))&lt;=0.25,8,""))))</f>
        <v/>
      </c>
      <c r="V60" s="9" t="str">
        <f aca="false">IF(OR(Q60="",T60=""),"",IF(MIN(MOD((Q60+T60),32),32-MOD((Q60+T60),32))&lt;=0.25,32,IF(MIN(MOD((Q60+T60),16),16-MOD((Q60+T60),16))&lt;=0.25,16,IF(MIN(MOD((Q60+T60),8),8-MOD((Q60+T60),8))&lt;=0.25,8,""))))</f>
        <v/>
      </c>
    </row>
    <row r="61" customFormat="false" ht="1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9" t="str">
        <f aca="false">IF(A61="","",IFERROR(INDEX(Tracks!$E$2:$E$41,MATCH(A61,Tracks!$A$2:$A$41,0)),"?"))</f>
        <v/>
      </c>
      <c r="P61" s="9" t="str">
        <f aca="false">IF(A61="","",IFERROR(N(INDEX(Tracks!$F$2:$F$41,MATCH(A61,Tracks!$A$2:$A$41,0))),""))</f>
        <v/>
      </c>
      <c r="Q61" s="10" t="str">
        <f aca="false">IF(D61&lt;&gt;"",D61-1,IF(OR(A61="",C61="",N(P61)&lt;=0),"",(N(B61)*60+C61-IFERROR(N(INDEX(Tracks!$G$2:$G$41,MATCH(A61,Tracks!$A$2:$A$41,0))),0))*P61/240))</f>
        <v/>
      </c>
      <c r="R61" s="9" t="str">
        <f aca="false">IF(Q61="","",INT(Q61)+1)</f>
        <v/>
      </c>
      <c r="S61" s="10" t="str">
        <f aca="false">IF(OR(Q61="",D61&lt;&gt;""),"",MIN(4.75,ROUND((Q61-INT(Q61))*16,0)/4+1))</f>
        <v/>
      </c>
      <c r="T61" s="11" t="str">
        <f aca="false">IF(OR(E61="",N(P61)&lt;=0),"",E61*P61/240)</f>
        <v/>
      </c>
      <c r="U61" s="9" t="str">
        <f aca="false">IF(Q61="","",IF(MIN(MOD(Q61,32),32-MOD(Q61,32))&lt;=0.25,32,IF(MIN(MOD(Q61,16),16-MOD(Q61,16))&lt;=0.25,16,IF(MIN(MOD(Q61,8),8-MOD(Q61,8))&lt;=0.25,8,""))))</f>
        <v/>
      </c>
      <c r="V61" s="9" t="str">
        <f aca="false">IF(OR(Q61="",T61=""),"",IF(MIN(MOD((Q61+T61),32),32-MOD((Q61+T61),32))&lt;=0.25,32,IF(MIN(MOD((Q61+T61),16),16-MOD((Q61+T61),16))&lt;=0.25,16,IF(MIN(MOD((Q61+T61),8),8-MOD((Q61+T61),8))&lt;=0.25,8,""))))</f>
        <v/>
      </c>
    </row>
    <row r="62" customFormat="false" ht="1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9" t="str">
        <f aca="false">IF(A62="","",IFERROR(INDEX(Tracks!$E$2:$E$41,MATCH(A62,Tracks!$A$2:$A$41,0)),"?"))</f>
        <v/>
      </c>
      <c r="P62" s="9" t="str">
        <f aca="false">IF(A62="","",IFERROR(N(INDEX(Tracks!$F$2:$F$41,MATCH(A62,Tracks!$A$2:$A$41,0))),""))</f>
        <v/>
      </c>
      <c r="Q62" s="10" t="str">
        <f aca="false">IF(D62&lt;&gt;"",D62-1,IF(OR(A62="",C62="",N(P62)&lt;=0),"",(N(B62)*60+C62-IFERROR(N(INDEX(Tracks!$G$2:$G$41,MATCH(A62,Tracks!$A$2:$A$41,0))),0))*P62/240))</f>
        <v/>
      </c>
      <c r="R62" s="9" t="str">
        <f aca="false">IF(Q62="","",INT(Q62)+1)</f>
        <v/>
      </c>
      <c r="S62" s="10" t="str">
        <f aca="false">IF(OR(Q62="",D62&lt;&gt;""),"",MIN(4.75,ROUND((Q62-INT(Q62))*16,0)/4+1))</f>
        <v/>
      </c>
      <c r="T62" s="11" t="str">
        <f aca="false">IF(OR(E62="",N(P62)&lt;=0),"",E62*P62/240)</f>
        <v/>
      </c>
      <c r="U62" s="9" t="str">
        <f aca="false">IF(Q62="","",IF(MIN(MOD(Q62,32),32-MOD(Q62,32))&lt;=0.25,32,IF(MIN(MOD(Q62,16),16-MOD(Q62,16))&lt;=0.25,16,IF(MIN(MOD(Q62,8),8-MOD(Q62,8))&lt;=0.25,8,""))))</f>
        <v/>
      </c>
      <c r="V62" s="9" t="str">
        <f aca="false">IF(OR(Q62="",T62=""),"",IF(MIN(MOD((Q62+T62),32),32-MOD((Q62+T62),32))&lt;=0.25,32,IF(MIN(MOD((Q62+T62),16),16-MOD((Q62+T62),16))&lt;=0.25,16,IF(MIN(MOD((Q62+T62),8),8-MOD((Q62+T62),8))&lt;=0.25,8,""))))</f>
        <v/>
      </c>
    </row>
    <row r="63" customFormat="false" ht="1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9" t="str">
        <f aca="false">IF(A63="","",IFERROR(INDEX(Tracks!$E$2:$E$41,MATCH(A63,Tracks!$A$2:$A$41,0)),"?"))</f>
        <v/>
      </c>
      <c r="P63" s="9" t="str">
        <f aca="false">IF(A63="","",IFERROR(N(INDEX(Tracks!$F$2:$F$41,MATCH(A63,Tracks!$A$2:$A$41,0))),""))</f>
        <v/>
      </c>
      <c r="Q63" s="10" t="str">
        <f aca="false">IF(D63&lt;&gt;"",D63-1,IF(OR(A63="",C63="",N(P63)&lt;=0),"",(N(B63)*60+C63-IFERROR(N(INDEX(Tracks!$G$2:$G$41,MATCH(A63,Tracks!$A$2:$A$41,0))),0))*P63/240))</f>
        <v/>
      </c>
      <c r="R63" s="9" t="str">
        <f aca="false">IF(Q63="","",INT(Q63)+1)</f>
        <v/>
      </c>
      <c r="S63" s="10" t="str">
        <f aca="false">IF(OR(Q63="",D63&lt;&gt;""),"",MIN(4.75,ROUND((Q63-INT(Q63))*16,0)/4+1))</f>
        <v/>
      </c>
      <c r="T63" s="11" t="str">
        <f aca="false">IF(OR(E63="",N(P63)&lt;=0),"",E63*P63/240)</f>
        <v/>
      </c>
      <c r="U63" s="9" t="str">
        <f aca="false">IF(Q63="","",IF(MIN(MOD(Q63,32),32-MOD(Q63,32))&lt;=0.25,32,IF(MIN(MOD(Q63,16),16-MOD(Q63,16))&lt;=0.25,16,IF(MIN(MOD(Q63,8),8-MOD(Q63,8))&lt;=0.25,8,""))))</f>
        <v/>
      </c>
      <c r="V63" s="9" t="str">
        <f aca="false">IF(OR(Q63="",T63=""),"",IF(MIN(MOD((Q63+T63),32),32-MOD((Q63+T63),32))&lt;=0.25,32,IF(MIN(MOD((Q63+T63),16),16-MOD((Q63+T63),16))&lt;=0.25,16,IF(MIN(MOD((Q63+T63),8),8-MOD((Q63+T63),8))&lt;=0.25,8,""))))</f>
        <v/>
      </c>
    </row>
    <row r="64" customFormat="false" ht="1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9" t="str">
        <f aca="false">IF(A64="","",IFERROR(INDEX(Tracks!$E$2:$E$41,MATCH(A64,Tracks!$A$2:$A$41,0)),"?"))</f>
        <v/>
      </c>
      <c r="P64" s="9" t="str">
        <f aca="false">IF(A64="","",IFERROR(N(INDEX(Tracks!$F$2:$F$41,MATCH(A64,Tracks!$A$2:$A$41,0))),""))</f>
        <v/>
      </c>
      <c r="Q64" s="10" t="str">
        <f aca="false">IF(D64&lt;&gt;"",D64-1,IF(OR(A64="",C64="",N(P64)&lt;=0),"",(N(B64)*60+C64-IFERROR(N(INDEX(Tracks!$G$2:$G$41,MATCH(A64,Tracks!$A$2:$A$41,0))),0))*P64/240))</f>
        <v/>
      </c>
      <c r="R64" s="9" t="str">
        <f aca="false">IF(Q64="","",INT(Q64)+1)</f>
        <v/>
      </c>
      <c r="S64" s="10" t="str">
        <f aca="false">IF(OR(Q64="",D64&lt;&gt;""),"",MIN(4.75,ROUND((Q64-INT(Q64))*16,0)/4+1))</f>
        <v/>
      </c>
      <c r="T64" s="11" t="str">
        <f aca="false">IF(OR(E64="",N(P64)&lt;=0),"",E64*P64/240)</f>
        <v/>
      </c>
      <c r="U64" s="9" t="str">
        <f aca="false">IF(Q64="","",IF(MIN(MOD(Q64,32),32-MOD(Q64,32))&lt;=0.25,32,IF(MIN(MOD(Q64,16),16-MOD(Q64,16))&lt;=0.25,16,IF(MIN(MOD(Q64,8),8-MOD(Q64,8))&lt;=0.25,8,""))))</f>
        <v/>
      </c>
      <c r="V64" s="9" t="str">
        <f aca="false">IF(OR(Q64="",T64=""),"",IF(MIN(MOD((Q64+T64),32),32-MOD((Q64+T64),32))&lt;=0.25,32,IF(MIN(MOD((Q64+T64),16),16-MOD((Q64+T64),16))&lt;=0.25,16,IF(MIN(MOD((Q64+T64),8),8-MOD((Q64+T64),8))&lt;=0.25,8,""))))</f>
        <v/>
      </c>
    </row>
    <row r="65" customFormat="false" ht="1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9" t="str">
        <f aca="false">IF(A65="","",IFERROR(INDEX(Tracks!$E$2:$E$41,MATCH(A65,Tracks!$A$2:$A$41,0)),"?"))</f>
        <v/>
      </c>
      <c r="P65" s="9" t="str">
        <f aca="false">IF(A65="","",IFERROR(N(INDEX(Tracks!$F$2:$F$41,MATCH(A65,Tracks!$A$2:$A$41,0))),""))</f>
        <v/>
      </c>
      <c r="Q65" s="10" t="str">
        <f aca="false">IF(D65&lt;&gt;"",D65-1,IF(OR(A65="",C65="",N(P65)&lt;=0),"",(N(B65)*60+C65-IFERROR(N(INDEX(Tracks!$G$2:$G$41,MATCH(A65,Tracks!$A$2:$A$41,0))),0))*P65/240))</f>
        <v/>
      </c>
      <c r="R65" s="9" t="str">
        <f aca="false">IF(Q65="","",INT(Q65)+1)</f>
        <v/>
      </c>
      <c r="S65" s="10" t="str">
        <f aca="false">IF(OR(Q65="",D65&lt;&gt;""),"",MIN(4.75,ROUND((Q65-INT(Q65))*16,0)/4+1))</f>
        <v/>
      </c>
      <c r="T65" s="11" t="str">
        <f aca="false">IF(OR(E65="",N(P65)&lt;=0),"",E65*P65/240)</f>
        <v/>
      </c>
      <c r="U65" s="9" t="str">
        <f aca="false">IF(Q65="","",IF(MIN(MOD(Q65,32),32-MOD(Q65,32))&lt;=0.25,32,IF(MIN(MOD(Q65,16),16-MOD(Q65,16))&lt;=0.25,16,IF(MIN(MOD(Q65,8),8-MOD(Q65,8))&lt;=0.25,8,""))))</f>
        <v/>
      </c>
      <c r="V65" s="9" t="str">
        <f aca="false">IF(OR(Q65="",T65=""),"",IF(MIN(MOD((Q65+T65),32),32-MOD((Q65+T65),32))&lt;=0.25,32,IF(MIN(MOD((Q65+T65),16),16-MOD((Q65+T65),16))&lt;=0.25,16,IF(MIN(MOD((Q65+T65),8),8-MOD((Q65+T65),8))&lt;=0.25,8,""))))</f>
        <v/>
      </c>
    </row>
    <row r="66" customFormat="false" ht="1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9" t="str">
        <f aca="false">IF(A66="","",IFERROR(INDEX(Tracks!$E$2:$E$41,MATCH(A66,Tracks!$A$2:$A$41,0)),"?"))</f>
        <v/>
      </c>
      <c r="P66" s="9" t="str">
        <f aca="false">IF(A66="","",IFERROR(N(INDEX(Tracks!$F$2:$F$41,MATCH(A66,Tracks!$A$2:$A$41,0))),""))</f>
        <v/>
      </c>
      <c r="Q66" s="10" t="str">
        <f aca="false">IF(D66&lt;&gt;"",D66-1,IF(OR(A66="",C66="",N(P66)&lt;=0),"",(N(B66)*60+C66-IFERROR(N(INDEX(Tracks!$G$2:$G$41,MATCH(A66,Tracks!$A$2:$A$41,0))),0))*P66/240))</f>
        <v/>
      </c>
      <c r="R66" s="9" t="str">
        <f aca="false">IF(Q66="","",INT(Q66)+1)</f>
        <v/>
      </c>
      <c r="S66" s="10" t="str">
        <f aca="false">IF(OR(Q66="",D66&lt;&gt;""),"",MIN(4.75,ROUND((Q66-INT(Q66))*16,0)/4+1))</f>
        <v/>
      </c>
      <c r="T66" s="11" t="str">
        <f aca="false">IF(OR(E66="",N(P66)&lt;=0),"",E66*P66/240)</f>
        <v/>
      </c>
      <c r="U66" s="9" t="str">
        <f aca="false">IF(Q66="","",IF(MIN(MOD(Q66,32),32-MOD(Q66,32))&lt;=0.25,32,IF(MIN(MOD(Q66,16),16-MOD(Q66,16))&lt;=0.25,16,IF(MIN(MOD(Q66,8),8-MOD(Q66,8))&lt;=0.25,8,""))))</f>
        <v/>
      </c>
      <c r="V66" s="9" t="str">
        <f aca="false">IF(OR(Q66="",T66=""),"",IF(MIN(MOD((Q66+T66),32),32-MOD((Q66+T66),32))&lt;=0.25,32,IF(MIN(MOD((Q66+T66),16),16-MOD((Q66+T66),16))&lt;=0.25,16,IF(MIN(MOD((Q66+T66),8),8-MOD((Q66+T66),8))&lt;=0.25,8,""))))</f>
        <v/>
      </c>
    </row>
    <row r="67" customFormat="false" ht="1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9" t="str">
        <f aca="false">IF(A67="","",IFERROR(INDEX(Tracks!$E$2:$E$41,MATCH(A67,Tracks!$A$2:$A$41,0)),"?"))</f>
        <v/>
      </c>
      <c r="P67" s="9" t="str">
        <f aca="false">IF(A67="","",IFERROR(N(INDEX(Tracks!$F$2:$F$41,MATCH(A67,Tracks!$A$2:$A$41,0))),""))</f>
        <v/>
      </c>
      <c r="Q67" s="10" t="str">
        <f aca="false">IF(D67&lt;&gt;"",D67-1,IF(OR(A67="",C67="",N(P67)&lt;=0),"",(N(B67)*60+C67-IFERROR(N(INDEX(Tracks!$G$2:$G$41,MATCH(A67,Tracks!$A$2:$A$41,0))),0))*P67/240))</f>
        <v/>
      </c>
      <c r="R67" s="9" t="str">
        <f aca="false">IF(Q67="","",INT(Q67)+1)</f>
        <v/>
      </c>
      <c r="S67" s="10" t="str">
        <f aca="false">IF(OR(Q67="",D67&lt;&gt;""),"",MIN(4.75,ROUND((Q67-INT(Q67))*16,0)/4+1))</f>
        <v/>
      </c>
      <c r="T67" s="11" t="str">
        <f aca="false">IF(OR(E67="",N(P67)&lt;=0),"",E67*P67/240)</f>
        <v/>
      </c>
      <c r="U67" s="9" t="str">
        <f aca="false">IF(Q67="","",IF(MIN(MOD(Q67,32),32-MOD(Q67,32))&lt;=0.25,32,IF(MIN(MOD(Q67,16),16-MOD(Q67,16))&lt;=0.25,16,IF(MIN(MOD(Q67,8),8-MOD(Q67,8))&lt;=0.25,8,""))))</f>
        <v/>
      </c>
      <c r="V67" s="9" t="str">
        <f aca="false">IF(OR(Q67="",T67=""),"",IF(MIN(MOD((Q67+T67),32),32-MOD((Q67+T67),32))&lt;=0.25,32,IF(MIN(MOD((Q67+T67),16),16-MOD((Q67+T67),16))&lt;=0.25,16,IF(MIN(MOD((Q67+T67),8),8-MOD((Q67+T67),8))&lt;=0.25,8,""))))</f>
        <v/>
      </c>
    </row>
    <row r="68" customFormat="false" ht="1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9" t="str">
        <f aca="false">IF(A68="","",IFERROR(INDEX(Tracks!$E$2:$E$41,MATCH(A68,Tracks!$A$2:$A$41,0)),"?"))</f>
        <v/>
      </c>
      <c r="P68" s="9" t="str">
        <f aca="false">IF(A68="","",IFERROR(N(INDEX(Tracks!$F$2:$F$41,MATCH(A68,Tracks!$A$2:$A$41,0))),""))</f>
        <v/>
      </c>
      <c r="Q68" s="10" t="str">
        <f aca="false">IF(D68&lt;&gt;"",D68-1,IF(OR(A68="",C68="",N(P68)&lt;=0),"",(N(B68)*60+C68-IFERROR(N(INDEX(Tracks!$G$2:$G$41,MATCH(A68,Tracks!$A$2:$A$41,0))),0))*P68/240))</f>
        <v/>
      </c>
      <c r="R68" s="9" t="str">
        <f aca="false">IF(Q68="","",INT(Q68)+1)</f>
        <v/>
      </c>
      <c r="S68" s="10" t="str">
        <f aca="false">IF(OR(Q68="",D68&lt;&gt;""),"",MIN(4.75,ROUND((Q68-INT(Q68))*16,0)/4+1))</f>
        <v/>
      </c>
      <c r="T68" s="11" t="str">
        <f aca="false">IF(OR(E68="",N(P68)&lt;=0),"",E68*P68/240)</f>
        <v/>
      </c>
      <c r="U68" s="9" t="str">
        <f aca="false">IF(Q68="","",IF(MIN(MOD(Q68,32),32-MOD(Q68,32))&lt;=0.25,32,IF(MIN(MOD(Q68,16),16-MOD(Q68,16))&lt;=0.25,16,IF(MIN(MOD(Q68,8),8-MOD(Q68,8))&lt;=0.25,8,""))))</f>
        <v/>
      </c>
      <c r="V68" s="9" t="str">
        <f aca="false">IF(OR(Q68="",T68=""),"",IF(MIN(MOD((Q68+T68),32),32-MOD((Q68+T68),32))&lt;=0.25,32,IF(MIN(MOD((Q68+T68),16),16-MOD((Q68+T68),16))&lt;=0.25,16,IF(MIN(MOD((Q68+T68),8),8-MOD((Q68+T68),8))&lt;=0.25,8,""))))</f>
        <v/>
      </c>
    </row>
    <row r="69" customFormat="false" ht="1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9" t="str">
        <f aca="false">IF(A69="","",IFERROR(INDEX(Tracks!$E$2:$E$41,MATCH(A69,Tracks!$A$2:$A$41,0)),"?"))</f>
        <v/>
      </c>
      <c r="P69" s="9" t="str">
        <f aca="false">IF(A69="","",IFERROR(N(INDEX(Tracks!$F$2:$F$41,MATCH(A69,Tracks!$A$2:$A$41,0))),""))</f>
        <v/>
      </c>
      <c r="Q69" s="10" t="str">
        <f aca="false">IF(D69&lt;&gt;"",D69-1,IF(OR(A69="",C69="",N(P69)&lt;=0),"",(N(B69)*60+C69-IFERROR(N(INDEX(Tracks!$G$2:$G$41,MATCH(A69,Tracks!$A$2:$A$41,0))),0))*P69/240))</f>
        <v/>
      </c>
      <c r="R69" s="9" t="str">
        <f aca="false">IF(Q69="","",INT(Q69)+1)</f>
        <v/>
      </c>
      <c r="S69" s="10" t="str">
        <f aca="false">IF(OR(Q69="",D69&lt;&gt;""),"",MIN(4.75,ROUND((Q69-INT(Q69))*16,0)/4+1))</f>
        <v/>
      </c>
      <c r="T69" s="11" t="str">
        <f aca="false">IF(OR(E69="",N(P69)&lt;=0),"",E69*P69/240)</f>
        <v/>
      </c>
      <c r="U69" s="9" t="str">
        <f aca="false">IF(Q69="","",IF(MIN(MOD(Q69,32),32-MOD(Q69,32))&lt;=0.25,32,IF(MIN(MOD(Q69,16),16-MOD(Q69,16))&lt;=0.25,16,IF(MIN(MOD(Q69,8),8-MOD(Q69,8))&lt;=0.25,8,""))))</f>
        <v/>
      </c>
      <c r="V69" s="9" t="str">
        <f aca="false">IF(OR(Q69="",T69=""),"",IF(MIN(MOD((Q69+T69),32),32-MOD((Q69+T69),32))&lt;=0.25,32,IF(MIN(MOD((Q69+T69),16),16-MOD((Q69+T69),16))&lt;=0.25,16,IF(MIN(MOD((Q69+T69),8),8-MOD((Q69+T69),8))&lt;=0.25,8,""))))</f>
        <v/>
      </c>
    </row>
    <row r="70" customFormat="false" ht="1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9" t="str">
        <f aca="false">IF(A70="","",IFERROR(INDEX(Tracks!$E$2:$E$41,MATCH(A70,Tracks!$A$2:$A$41,0)),"?"))</f>
        <v/>
      </c>
      <c r="P70" s="9" t="str">
        <f aca="false">IF(A70="","",IFERROR(N(INDEX(Tracks!$F$2:$F$41,MATCH(A70,Tracks!$A$2:$A$41,0))),""))</f>
        <v/>
      </c>
      <c r="Q70" s="10" t="str">
        <f aca="false">IF(D70&lt;&gt;"",D70-1,IF(OR(A70="",C70="",N(P70)&lt;=0),"",(N(B70)*60+C70-IFERROR(N(INDEX(Tracks!$G$2:$G$41,MATCH(A70,Tracks!$A$2:$A$41,0))),0))*P70/240))</f>
        <v/>
      </c>
      <c r="R70" s="9" t="str">
        <f aca="false">IF(Q70="","",INT(Q70)+1)</f>
        <v/>
      </c>
      <c r="S70" s="10" t="str">
        <f aca="false">IF(OR(Q70="",D70&lt;&gt;""),"",MIN(4.75,ROUND((Q70-INT(Q70))*16,0)/4+1))</f>
        <v/>
      </c>
      <c r="T70" s="11" t="str">
        <f aca="false">IF(OR(E70="",N(P70)&lt;=0),"",E70*P70/240)</f>
        <v/>
      </c>
      <c r="U70" s="9" t="str">
        <f aca="false">IF(Q70="","",IF(MIN(MOD(Q70,32),32-MOD(Q70,32))&lt;=0.25,32,IF(MIN(MOD(Q70,16),16-MOD(Q70,16))&lt;=0.25,16,IF(MIN(MOD(Q70,8),8-MOD(Q70,8))&lt;=0.25,8,""))))</f>
        <v/>
      </c>
      <c r="V70" s="9" t="str">
        <f aca="false">IF(OR(Q70="",T70=""),"",IF(MIN(MOD((Q70+T70),32),32-MOD((Q70+T70),32))&lt;=0.25,32,IF(MIN(MOD((Q70+T70),16),16-MOD((Q70+T70),16))&lt;=0.25,16,IF(MIN(MOD((Q70+T70),8),8-MOD((Q70+T70),8))&lt;=0.25,8,""))))</f>
        <v/>
      </c>
    </row>
    <row r="71" customFormat="false" ht="1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9" t="str">
        <f aca="false">IF(A71="","",IFERROR(INDEX(Tracks!$E$2:$E$41,MATCH(A71,Tracks!$A$2:$A$41,0)),"?"))</f>
        <v/>
      </c>
      <c r="P71" s="9" t="str">
        <f aca="false">IF(A71="","",IFERROR(N(INDEX(Tracks!$F$2:$F$41,MATCH(A71,Tracks!$A$2:$A$41,0))),""))</f>
        <v/>
      </c>
      <c r="Q71" s="10" t="str">
        <f aca="false">IF(D71&lt;&gt;"",D71-1,IF(OR(A71="",C71="",N(P71)&lt;=0),"",(N(B71)*60+C71-IFERROR(N(INDEX(Tracks!$G$2:$G$41,MATCH(A71,Tracks!$A$2:$A$41,0))),0))*P71/240))</f>
        <v/>
      </c>
      <c r="R71" s="9" t="str">
        <f aca="false">IF(Q71="","",INT(Q71)+1)</f>
        <v/>
      </c>
      <c r="S71" s="10" t="str">
        <f aca="false">IF(OR(Q71="",D71&lt;&gt;""),"",MIN(4.75,ROUND((Q71-INT(Q71))*16,0)/4+1))</f>
        <v/>
      </c>
      <c r="T71" s="11" t="str">
        <f aca="false">IF(OR(E71="",N(P71)&lt;=0),"",E71*P71/240)</f>
        <v/>
      </c>
      <c r="U71" s="9" t="str">
        <f aca="false">IF(Q71="","",IF(MIN(MOD(Q71,32),32-MOD(Q71,32))&lt;=0.25,32,IF(MIN(MOD(Q71,16),16-MOD(Q71,16))&lt;=0.25,16,IF(MIN(MOD(Q71,8),8-MOD(Q71,8))&lt;=0.25,8,""))))</f>
        <v/>
      </c>
      <c r="V71" s="9" t="str">
        <f aca="false">IF(OR(Q71="",T71=""),"",IF(MIN(MOD((Q71+T71),32),32-MOD((Q71+T71),32))&lt;=0.25,32,IF(MIN(MOD((Q71+T71),16),16-MOD((Q71+T71),16))&lt;=0.25,16,IF(MIN(MOD((Q71+T71),8),8-MOD((Q71+T71),8))&lt;=0.25,8,""))))</f>
        <v/>
      </c>
    </row>
    <row r="72" customFormat="false" ht="1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9" t="str">
        <f aca="false">IF(A72="","",IFERROR(INDEX(Tracks!$E$2:$E$41,MATCH(A72,Tracks!$A$2:$A$41,0)),"?"))</f>
        <v/>
      </c>
      <c r="P72" s="9" t="str">
        <f aca="false">IF(A72="","",IFERROR(N(INDEX(Tracks!$F$2:$F$41,MATCH(A72,Tracks!$A$2:$A$41,0))),""))</f>
        <v/>
      </c>
      <c r="Q72" s="10" t="str">
        <f aca="false">IF(D72&lt;&gt;"",D72-1,IF(OR(A72="",C72="",N(P72)&lt;=0),"",(N(B72)*60+C72-IFERROR(N(INDEX(Tracks!$G$2:$G$41,MATCH(A72,Tracks!$A$2:$A$41,0))),0))*P72/240))</f>
        <v/>
      </c>
      <c r="R72" s="9" t="str">
        <f aca="false">IF(Q72="","",INT(Q72)+1)</f>
        <v/>
      </c>
      <c r="S72" s="10" t="str">
        <f aca="false">IF(OR(Q72="",D72&lt;&gt;""),"",MIN(4.75,ROUND((Q72-INT(Q72))*16,0)/4+1))</f>
        <v/>
      </c>
      <c r="T72" s="11" t="str">
        <f aca="false">IF(OR(E72="",N(P72)&lt;=0),"",E72*P72/240)</f>
        <v/>
      </c>
      <c r="U72" s="9" t="str">
        <f aca="false">IF(Q72="","",IF(MIN(MOD(Q72,32),32-MOD(Q72,32))&lt;=0.25,32,IF(MIN(MOD(Q72,16),16-MOD(Q72,16))&lt;=0.25,16,IF(MIN(MOD(Q72,8),8-MOD(Q72,8))&lt;=0.25,8,""))))</f>
        <v/>
      </c>
      <c r="V72" s="9" t="str">
        <f aca="false">IF(OR(Q72="",T72=""),"",IF(MIN(MOD((Q72+T72),32),32-MOD((Q72+T72),32))&lt;=0.25,32,IF(MIN(MOD((Q72+T72),16),16-MOD((Q72+T72),16))&lt;=0.25,16,IF(MIN(MOD((Q72+T72),8),8-MOD((Q72+T72),8))&lt;=0.25,8,""))))</f>
        <v/>
      </c>
    </row>
    <row r="73" customFormat="false" ht="1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9" t="str">
        <f aca="false">IF(A73="","",IFERROR(INDEX(Tracks!$E$2:$E$41,MATCH(A73,Tracks!$A$2:$A$41,0)),"?"))</f>
        <v/>
      </c>
      <c r="P73" s="9" t="str">
        <f aca="false">IF(A73="","",IFERROR(N(INDEX(Tracks!$F$2:$F$41,MATCH(A73,Tracks!$A$2:$A$41,0))),""))</f>
        <v/>
      </c>
      <c r="Q73" s="10" t="str">
        <f aca="false">IF(D73&lt;&gt;"",D73-1,IF(OR(A73="",C73="",N(P73)&lt;=0),"",(N(B73)*60+C73-IFERROR(N(INDEX(Tracks!$G$2:$G$41,MATCH(A73,Tracks!$A$2:$A$41,0))),0))*P73/240))</f>
        <v/>
      </c>
      <c r="R73" s="9" t="str">
        <f aca="false">IF(Q73="","",INT(Q73)+1)</f>
        <v/>
      </c>
      <c r="S73" s="10" t="str">
        <f aca="false">IF(OR(Q73="",D73&lt;&gt;""),"",MIN(4.75,ROUND((Q73-INT(Q73))*16,0)/4+1))</f>
        <v/>
      </c>
      <c r="T73" s="11" t="str">
        <f aca="false">IF(OR(E73="",N(P73)&lt;=0),"",E73*P73/240)</f>
        <v/>
      </c>
      <c r="U73" s="9" t="str">
        <f aca="false">IF(Q73="","",IF(MIN(MOD(Q73,32),32-MOD(Q73,32))&lt;=0.25,32,IF(MIN(MOD(Q73,16),16-MOD(Q73,16))&lt;=0.25,16,IF(MIN(MOD(Q73,8),8-MOD(Q73,8))&lt;=0.25,8,""))))</f>
        <v/>
      </c>
      <c r="V73" s="9" t="str">
        <f aca="false">IF(OR(Q73="",T73=""),"",IF(MIN(MOD((Q73+T73),32),32-MOD((Q73+T73),32))&lt;=0.25,32,IF(MIN(MOD((Q73+T73),16),16-MOD((Q73+T73),16))&lt;=0.25,16,IF(MIN(MOD((Q73+T73),8),8-MOD((Q73+T73),8))&lt;=0.25,8,""))))</f>
        <v/>
      </c>
    </row>
    <row r="74" customFormat="false" ht="1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9" t="str">
        <f aca="false">IF(A74="","",IFERROR(INDEX(Tracks!$E$2:$E$41,MATCH(A74,Tracks!$A$2:$A$41,0)),"?"))</f>
        <v/>
      </c>
      <c r="P74" s="9" t="str">
        <f aca="false">IF(A74="","",IFERROR(N(INDEX(Tracks!$F$2:$F$41,MATCH(A74,Tracks!$A$2:$A$41,0))),""))</f>
        <v/>
      </c>
      <c r="Q74" s="10" t="str">
        <f aca="false">IF(D74&lt;&gt;"",D74-1,IF(OR(A74="",C74="",N(P74)&lt;=0),"",(N(B74)*60+C74-IFERROR(N(INDEX(Tracks!$G$2:$G$41,MATCH(A74,Tracks!$A$2:$A$41,0))),0))*P74/240))</f>
        <v/>
      </c>
      <c r="R74" s="9" t="str">
        <f aca="false">IF(Q74="","",INT(Q74)+1)</f>
        <v/>
      </c>
      <c r="S74" s="10" t="str">
        <f aca="false">IF(OR(Q74="",D74&lt;&gt;""),"",MIN(4.75,ROUND((Q74-INT(Q74))*16,0)/4+1))</f>
        <v/>
      </c>
      <c r="T74" s="11" t="str">
        <f aca="false">IF(OR(E74="",N(P74)&lt;=0),"",E74*P74/240)</f>
        <v/>
      </c>
      <c r="U74" s="9" t="str">
        <f aca="false">IF(Q74="","",IF(MIN(MOD(Q74,32),32-MOD(Q74,32))&lt;=0.25,32,IF(MIN(MOD(Q74,16),16-MOD(Q74,16))&lt;=0.25,16,IF(MIN(MOD(Q74,8),8-MOD(Q74,8))&lt;=0.25,8,""))))</f>
        <v/>
      </c>
      <c r="V74" s="9" t="str">
        <f aca="false">IF(OR(Q74="",T74=""),"",IF(MIN(MOD((Q74+T74),32),32-MOD((Q74+T74),32))&lt;=0.25,32,IF(MIN(MOD((Q74+T74),16),16-MOD((Q74+T74),16))&lt;=0.25,16,IF(MIN(MOD((Q74+T74),8),8-MOD((Q74+T74),8))&lt;=0.25,8,""))))</f>
        <v/>
      </c>
    </row>
    <row r="75" customFormat="false" ht="1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9" t="str">
        <f aca="false">IF(A75="","",IFERROR(INDEX(Tracks!$E$2:$E$41,MATCH(A75,Tracks!$A$2:$A$41,0)),"?"))</f>
        <v/>
      </c>
      <c r="P75" s="9" t="str">
        <f aca="false">IF(A75="","",IFERROR(N(INDEX(Tracks!$F$2:$F$41,MATCH(A75,Tracks!$A$2:$A$41,0))),""))</f>
        <v/>
      </c>
      <c r="Q75" s="10" t="str">
        <f aca="false">IF(D75&lt;&gt;"",D75-1,IF(OR(A75="",C75="",N(P75)&lt;=0),"",(N(B75)*60+C75-IFERROR(N(INDEX(Tracks!$G$2:$G$41,MATCH(A75,Tracks!$A$2:$A$41,0))),0))*P75/240))</f>
        <v/>
      </c>
      <c r="R75" s="9" t="str">
        <f aca="false">IF(Q75="","",INT(Q75)+1)</f>
        <v/>
      </c>
      <c r="S75" s="10" t="str">
        <f aca="false">IF(OR(Q75="",D75&lt;&gt;""),"",MIN(4.75,ROUND((Q75-INT(Q75))*16,0)/4+1))</f>
        <v/>
      </c>
      <c r="T75" s="11" t="str">
        <f aca="false">IF(OR(E75="",N(P75)&lt;=0),"",E75*P75/240)</f>
        <v/>
      </c>
      <c r="U75" s="9" t="str">
        <f aca="false">IF(Q75="","",IF(MIN(MOD(Q75,32),32-MOD(Q75,32))&lt;=0.25,32,IF(MIN(MOD(Q75,16),16-MOD(Q75,16))&lt;=0.25,16,IF(MIN(MOD(Q75,8),8-MOD(Q75,8))&lt;=0.25,8,""))))</f>
        <v/>
      </c>
      <c r="V75" s="9" t="str">
        <f aca="false">IF(OR(Q75="",T75=""),"",IF(MIN(MOD((Q75+T75),32),32-MOD((Q75+T75),32))&lt;=0.25,32,IF(MIN(MOD((Q75+T75),16),16-MOD((Q75+T75),16))&lt;=0.25,16,IF(MIN(MOD((Q75+T75),8),8-MOD((Q75+T75),8))&lt;=0.25,8,""))))</f>
        <v/>
      </c>
    </row>
    <row r="76" customFormat="false" ht="1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9" t="str">
        <f aca="false">IF(A76="","",IFERROR(INDEX(Tracks!$E$2:$E$41,MATCH(A76,Tracks!$A$2:$A$41,0)),"?"))</f>
        <v/>
      </c>
      <c r="P76" s="9" t="str">
        <f aca="false">IF(A76="","",IFERROR(N(INDEX(Tracks!$F$2:$F$41,MATCH(A76,Tracks!$A$2:$A$41,0))),""))</f>
        <v/>
      </c>
      <c r="Q76" s="10" t="str">
        <f aca="false">IF(D76&lt;&gt;"",D76-1,IF(OR(A76="",C76="",N(P76)&lt;=0),"",(N(B76)*60+C76-IFERROR(N(INDEX(Tracks!$G$2:$G$41,MATCH(A76,Tracks!$A$2:$A$41,0))),0))*P76/240))</f>
        <v/>
      </c>
      <c r="R76" s="9" t="str">
        <f aca="false">IF(Q76="","",INT(Q76)+1)</f>
        <v/>
      </c>
      <c r="S76" s="10" t="str">
        <f aca="false">IF(OR(Q76="",D76&lt;&gt;""),"",MIN(4.75,ROUND((Q76-INT(Q76))*16,0)/4+1))</f>
        <v/>
      </c>
      <c r="T76" s="11" t="str">
        <f aca="false">IF(OR(E76="",N(P76)&lt;=0),"",E76*P76/240)</f>
        <v/>
      </c>
      <c r="U76" s="9" t="str">
        <f aca="false">IF(Q76="","",IF(MIN(MOD(Q76,32),32-MOD(Q76,32))&lt;=0.25,32,IF(MIN(MOD(Q76,16),16-MOD(Q76,16))&lt;=0.25,16,IF(MIN(MOD(Q76,8),8-MOD(Q76,8))&lt;=0.25,8,""))))</f>
        <v/>
      </c>
      <c r="V76" s="9" t="str">
        <f aca="false">IF(OR(Q76="",T76=""),"",IF(MIN(MOD((Q76+T76),32),32-MOD((Q76+T76),32))&lt;=0.25,32,IF(MIN(MOD((Q76+T76),16),16-MOD((Q76+T76),16))&lt;=0.25,16,IF(MIN(MOD((Q76+T76),8),8-MOD((Q76+T76),8))&lt;=0.25,8,""))))</f>
        <v/>
      </c>
    </row>
    <row r="77" customFormat="false" ht="1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9" t="str">
        <f aca="false">IF(A77="","",IFERROR(INDEX(Tracks!$E$2:$E$41,MATCH(A77,Tracks!$A$2:$A$41,0)),"?"))</f>
        <v/>
      </c>
      <c r="P77" s="9" t="str">
        <f aca="false">IF(A77="","",IFERROR(N(INDEX(Tracks!$F$2:$F$41,MATCH(A77,Tracks!$A$2:$A$41,0))),""))</f>
        <v/>
      </c>
      <c r="Q77" s="10" t="str">
        <f aca="false">IF(D77&lt;&gt;"",D77-1,IF(OR(A77="",C77="",N(P77)&lt;=0),"",(N(B77)*60+C77-IFERROR(N(INDEX(Tracks!$G$2:$G$41,MATCH(A77,Tracks!$A$2:$A$41,0))),0))*P77/240))</f>
        <v/>
      </c>
      <c r="R77" s="9" t="str">
        <f aca="false">IF(Q77="","",INT(Q77)+1)</f>
        <v/>
      </c>
      <c r="S77" s="10" t="str">
        <f aca="false">IF(OR(Q77="",D77&lt;&gt;""),"",MIN(4.75,ROUND((Q77-INT(Q77))*16,0)/4+1))</f>
        <v/>
      </c>
      <c r="T77" s="11" t="str">
        <f aca="false">IF(OR(E77="",N(P77)&lt;=0),"",E77*P77/240)</f>
        <v/>
      </c>
      <c r="U77" s="9" t="str">
        <f aca="false">IF(Q77="","",IF(MIN(MOD(Q77,32),32-MOD(Q77,32))&lt;=0.25,32,IF(MIN(MOD(Q77,16),16-MOD(Q77,16))&lt;=0.25,16,IF(MIN(MOD(Q77,8),8-MOD(Q77,8))&lt;=0.25,8,""))))</f>
        <v/>
      </c>
      <c r="V77" s="9" t="str">
        <f aca="false">IF(OR(Q77="",T77=""),"",IF(MIN(MOD((Q77+T77),32),32-MOD((Q77+T77),32))&lt;=0.25,32,IF(MIN(MOD((Q77+T77),16),16-MOD((Q77+T77),16))&lt;=0.25,16,IF(MIN(MOD((Q77+T77),8),8-MOD((Q77+T77),8))&lt;=0.25,8,""))))</f>
        <v/>
      </c>
    </row>
    <row r="78" customFormat="false" ht="1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9" t="str">
        <f aca="false">IF(A78="","",IFERROR(INDEX(Tracks!$E$2:$E$41,MATCH(A78,Tracks!$A$2:$A$41,0)),"?"))</f>
        <v/>
      </c>
      <c r="P78" s="9" t="str">
        <f aca="false">IF(A78="","",IFERROR(N(INDEX(Tracks!$F$2:$F$41,MATCH(A78,Tracks!$A$2:$A$41,0))),""))</f>
        <v/>
      </c>
      <c r="Q78" s="10" t="str">
        <f aca="false">IF(D78&lt;&gt;"",D78-1,IF(OR(A78="",C78="",N(P78)&lt;=0),"",(N(B78)*60+C78-IFERROR(N(INDEX(Tracks!$G$2:$G$41,MATCH(A78,Tracks!$A$2:$A$41,0))),0))*P78/240))</f>
        <v/>
      </c>
      <c r="R78" s="9" t="str">
        <f aca="false">IF(Q78="","",INT(Q78)+1)</f>
        <v/>
      </c>
      <c r="S78" s="10" t="str">
        <f aca="false">IF(OR(Q78="",D78&lt;&gt;""),"",MIN(4.75,ROUND((Q78-INT(Q78))*16,0)/4+1))</f>
        <v/>
      </c>
      <c r="T78" s="11" t="str">
        <f aca="false">IF(OR(E78="",N(P78)&lt;=0),"",E78*P78/240)</f>
        <v/>
      </c>
      <c r="U78" s="9" t="str">
        <f aca="false">IF(Q78="","",IF(MIN(MOD(Q78,32),32-MOD(Q78,32))&lt;=0.25,32,IF(MIN(MOD(Q78,16),16-MOD(Q78,16))&lt;=0.25,16,IF(MIN(MOD(Q78,8),8-MOD(Q78,8))&lt;=0.25,8,""))))</f>
        <v/>
      </c>
      <c r="V78" s="9" t="str">
        <f aca="false">IF(OR(Q78="",T78=""),"",IF(MIN(MOD((Q78+T78),32),32-MOD((Q78+T78),32))&lt;=0.25,32,IF(MIN(MOD((Q78+T78),16),16-MOD((Q78+T78),16))&lt;=0.25,16,IF(MIN(MOD((Q78+T78),8),8-MOD((Q78+T78),8))&lt;=0.25,8,""))))</f>
        <v/>
      </c>
    </row>
    <row r="79" customFormat="false" ht="1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9" t="str">
        <f aca="false">IF(A79="","",IFERROR(INDEX(Tracks!$E$2:$E$41,MATCH(A79,Tracks!$A$2:$A$41,0)),"?"))</f>
        <v/>
      </c>
      <c r="P79" s="9" t="str">
        <f aca="false">IF(A79="","",IFERROR(N(INDEX(Tracks!$F$2:$F$41,MATCH(A79,Tracks!$A$2:$A$41,0))),""))</f>
        <v/>
      </c>
      <c r="Q79" s="10" t="str">
        <f aca="false">IF(D79&lt;&gt;"",D79-1,IF(OR(A79="",C79="",N(P79)&lt;=0),"",(N(B79)*60+C79-IFERROR(N(INDEX(Tracks!$G$2:$G$41,MATCH(A79,Tracks!$A$2:$A$41,0))),0))*P79/240))</f>
        <v/>
      </c>
      <c r="R79" s="9" t="str">
        <f aca="false">IF(Q79="","",INT(Q79)+1)</f>
        <v/>
      </c>
      <c r="S79" s="10" t="str">
        <f aca="false">IF(OR(Q79="",D79&lt;&gt;""),"",MIN(4.75,ROUND((Q79-INT(Q79))*16,0)/4+1))</f>
        <v/>
      </c>
      <c r="T79" s="11" t="str">
        <f aca="false">IF(OR(E79="",N(P79)&lt;=0),"",E79*P79/240)</f>
        <v/>
      </c>
      <c r="U79" s="9" t="str">
        <f aca="false">IF(Q79="","",IF(MIN(MOD(Q79,32),32-MOD(Q79,32))&lt;=0.25,32,IF(MIN(MOD(Q79,16),16-MOD(Q79,16))&lt;=0.25,16,IF(MIN(MOD(Q79,8),8-MOD(Q79,8))&lt;=0.25,8,""))))</f>
        <v/>
      </c>
      <c r="V79" s="9" t="str">
        <f aca="false">IF(OR(Q79="",T79=""),"",IF(MIN(MOD((Q79+T79),32),32-MOD((Q79+T79),32))&lt;=0.25,32,IF(MIN(MOD((Q79+T79),16),16-MOD((Q79+T79),16))&lt;=0.25,16,IF(MIN(MOD((Q79+T79),8),8-MOD((Q79+T79),8))&lt;=0.25,8,""))))</f>
        <v/>
      </c>
    </row>
    <row r="80" customFormat="false" ht="1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9" t="str">
        <f aca="false">IF(A80="","",IFERROR(INDEX(Tracks!$E$2:$E$41,MATCH(A80,Tracks!$A$2:$A$41,0)),"?"))</f>
        <v/>
      </c>
      <c r="P80" s="9" t="str">
        <f aca="false">IF(A80="","",IFERROR(N(INDEX(Tracks!$F$2:$F$41,MATCH(A80,Tracks!$A$2:$A$41,0))),""))</f>
        <v/>
      </c>
      <c r="Q80" s="10" t="str">
        <f aca="false">IF(D80&lt;&gt;"",D80-1,IF(OR(A80="",C80="",N(P80)&lt;=0),"",(N(B80)*60+C80-IFERROR(N(INDEX(Tracks!$G$2:$G$41,MATCH(A80,Tracks!$A$2:$A$41,0))),0))*P80/240))</f>
        <v/>
      </c>
      <c r="R80" s="9" t="str">
        <f aca="false">IF(Q80="","",INT(Q80)+1)</f>
        <v/>
      </c>
      <c r="S80" s="10" t="str">
        <f aca="false">IF(OR(Q80="",D80&lt;&gt;""),"",MIN(4.75,ROUND((Q80-INT(Q80))*16,0)/4+1))</f>
        <v/>
      </c>
      <c r="T80" s="11" t="str">
        <f aca="false">IF(OR(E80="",N(P80)&lt;=0),"",E80*P80/240)</f>
        <v/>
      </c>
      <c r="U80" s="9" t="str">
        <f aca="false">IF(Q80="","",IF(MIN(MOD(Q80,32),32-MOD(Q80,32))&lt;=0.25,32,IF(MIN(MOD(Q80,16),16-MOD(Q80,16))&lt;=0.25,16,IF(MIN(MOD(Q80,8),8-MOD(Q80,8))&lt;=0.25,8,""))))</f>
        <v/>
      </c>
      <c r="V80" s="9" t="str">
        <f aca="false">IF(OR(Q80="",T80=""),"",IF(MIN(MOD((Q80+T80),32),32-MOD((Q80+T80),32))&lt;=0.25,32,IF(MIN(MOD((Q80+T80),16),16-MOD((Q80+T80),16))&lt;=0.25,16,IF(MIN(MOD((Q80+T80),8),8-MOD((Q80+T80),8))&lt;=0.25,8,""))))</f>
        <v/>
      </c>
    </row>
    <row r="81" customFormat="false" ht="1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9" t="str">
        <f aca="false">IF(A81="","",IFERROR(INDEX(Tracks!$E$2:$E$41,MATCH(A81,Tracks!$A$2:$A$41,0)),"?"))</f>
        <v/>
      </c>
      <c r="P81" s="9" t="str">
        <f aca="false">IF(A81="","",IFERROR(N(INDEX(Tracks!$F$2:$F$41,MATCH(A81,Tracks!$A$2:$A$41,0))),""))</f>
        <v/>
      </c>
      <c r="Q81" s="10" t="str">
        <f aca="false">IF(D81&lt;&gt;"",D81-1,IF(OR(A81="",C81="",N(P81)&lt;=0),"",(N(B81)*60+C81-IFERROR(N(INDEX(Tracks!$G$2:$G$41,MATCH(A81,Tracks!$A$2:$A$41,0))),0))*P81/240))</f>
        <v/>
      </c>
      <c r="R81" s="9" t="str">
        <f aca="false">IF(Q81="","",INT(Q81)+1)</f>
        <v/>
      </c>
      <c r="S81" s="10" t="str">
        <f aca="false">IF(OR(Q81="",D81&lt;&gt;""),"",MIN(4.75,ROUND((Q81-INT(Q81))*16,0)/4+1))</f>
        <v/>
      </c>
      <c r="T81" s="11" t="str">
        <f aca="false">IF(OR(E81="",N(P81)&lt;=0),"",E81*P81/240)</f>
        <v/>
      </c>
      <c r="U81" s="9" t="str">
        <f aca="false">IF(Q81="","",IF(MIN(MOD(Q81,32),32-MOD(Q81,32))&lt;=0.25,32,IF(MIN(MOD(Q81,16),16-MOD(Q81,16))&lt;=0.25,16,IF(MIN(MOD(Q81,8),8-MOD(Q81,8))&lt;=0.25,8,""))))</f>
        <v/>
      </c>
      <c r="V81" s="9" t="str">
        <f aca="false">IF(OR(Q81="",T81=""),"",IF(MIN(MOD((Q81+T81),32),32-MOD((Q81+T81),32))&lt;=0.25,32,IF(MIN(MOD((Q81+T81),16),16-MOD((Q81+T81),16))&lt;=0.25,16,IF(MIN(MOD((Q81+T81),8),8-MOD((Q81+T81),8))&lt;=0.25,8,""))))</f>
        <v/>
      </c>
    </row>
    <row r="82" customFormat="false" ht="1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9" t="str">
        <f aca="false">IF(A82="","",IFERROR(INDEX(Tracks!$E$2:$E$41,MATCH(A82,Tracks!$A$2:$A$41,0)),"?"))</f>
        <v/>
      </c>
      <c r="P82" s="9" t="str">
        <f aca="false">IF(A82="","",IFERROR(N(INDEX(Tracks!$F$2:$F$41,MATCH(A82,Tracks!$A$2:$A$41,0))),""))</f>
        <v/>
      </c>
      <c r="Q82" s="10" t="str">
        <f aca="false">IF(D82&lt;&gt;"",D82-1,IF(OR(A82="",C82="",N(P82)&lt;=0),"",(N(B82)*60+C82-IFERROR(N(INDEX(Tracks!$G$2:$G$41,MATCH(A82,Tracks!$A$2:$A$41,0))),0))*P82/240))</f>
        <v/>
      </c>
      <c r="R82" s="9" t="str">
        <f aca="false">IF(Q82="","",INT(Q82)+1)</f>
        <v/>
      </c>
      <c r="S82" s="10" t="str">
        <f aca="false">IF(OR(Q82="",D82&lt;&gt;""),"",MIN(4.75,ROUND((Q82-INT(Q82))*16,0)/4+1))</f>
        <v/>
      </c>
      <c r="T82" s="11" t="str">
        <f aca="false">IF(OR(E82="",N(P82)&lt;=0),"",E82*P82/240)</f>
        <v/>
      </c>
      <c r="U82" s="9" t="str">
        <f aca="false">IF(Q82="","",IF(MIN(MOD(Q82,32),32-MOD(Q82,32))&lt;=0.25,32,IF(MIN(MOD(Q82,16),16-MOD(Q82,16))&lt;=0.25,16,IF(MIN(MOD(Q82,8),8-MOD(Q82,8))&lt;=0.25,8,""))))</f>
        <v/>
      </c>
      <c r="V82" s="9" t="str">
        <f aca="false">IF(OR(Q82="",T82=""),"",IF(MIN(MOD((Q82+T82),32),32-MOD((Q82+T82),32))&lt;=0.25,32,IF(MIN(MOD((Q82+T82),16),16-MOD((Q82+T82),16))&lt;=0.25,16,IF(MIN(MOD((Q82+T82),8),8-MOD((Q82+T82),8))&lt;=0.25,8,""))))</f>
        <v/>
      </c>
    </row>
    <row r="83" customFormat="false" ht="1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9" t="str">
        <f aca="false">IF(A83="","",IFERROR(INDEX(Tracks!$E$2:$E$41,MATCH(A83,Tracks!$A$2:$A$41,0)),"?"))</f>
        <v/>
      </c>
      <c r="P83" s="9" t="str">
        <f aca="false">IF(A83="","",IFERROR(N(INDEX(Tracks!$F$2:$F$41,MATCH(A83,Tracks!$A$2:$A$41,0))),""))</f>
        <v/>
      </c>
      <c r="Q83" s="10" t="str">
        <f aca="false">IF(D83&lt;&gt;"",D83-1,IF(OR(A83="",C83="",N(P83)&lt;=0),"",(N(B83)*60+C83-IFERROR(N(INDEX(Tracks!$G$2:$G$41,MATCH(A83,Tracks!$A$2:$A$41,0))),0))*P83/240))</f>
        <v/>
      </c>
      <c r="R83" s="9" t="str">
        <f aca="false">IF(Q83="","",INT(Q83)+1)</f>
        <v/>
      </c>
      <c r="S83" s="10" t="str">
        <f aca="false">IF(OR(Q83="",D83&lt;&gt;""),"",MIN(4.75,ROUND((Q83-INT(Q83))*16,0)/4+1))</f>
        <v/>
      </c>
      <c r="T83" s="11" t="str">
        <f aca="false">IF(OR(E83="",N(P83)&lt;=0),"",E83*P83/240)</f>
        <v/>
      </c>
      <c r="U83" s="9" t="str">
        <f aca="false">IF(Q83="","",IF(MIN(MOD(Q83,32),32-MOD(Q83,32))&lt;=0.25,32,IF(MIN(MOD(Q83,16),16-MOD(Q83,16))&lt;=0.25,16,IF(MIN(MOD(Q83,8),8-MOD(Q83,8))&lt;=0.25,8,""))))</f>
        <v/>
      </c>
      <c r="V83" s="9" t="str">
        <f aca="false">IF(OR(Q83="",T83=""),"",IF(MIN(MOD((Q83+T83),32),32-MOD((Q83+T83),32))&lt;=0.25,32,IF(MIN(MOD((Q83+T83),16),16-MOD((Q83+T83),16))&lt;=0.25,16,IF(MIN(MOD((Q83+T83),8),8-MOD((Q83+T83),8))&lt;=0.25,8,""))))</f>
        <v/>
      </c>
    </row>
    <row r="84" customFormat="false" ht="1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9" t="str">
        <f aca="false">IF(A84="","",IFERROR(INDEX(Tracks!$E$2:$E$41,MATCH(A84,Tracks!$A$2:$A$41,0)),"?"))</f>
        <v/>
      </c>
      <c r="P84" s="9" t="str">
        <f aca="false">IF(A84="","",IFERROR(N(INDEX(Tracks!$F$2:$F$41,MATCH(A84,Tracks!$A$2:$A$41,0))),""))</f>
        <v/>
      </c>
      <c r="Q84" s="10" t="str">
        <f aca="false">IF(D84&lt;&gt;"",D84-1,IF(OR(A84="",C84="",N(P84)&lt;=0),"",(N(B84)*60+C84-IFERROR(N(INDEX(Tracks!$G$2:$G$41,MATCH(A84,Tracks!$A$2:$A$41,0))),0))*P84/240))</f>
        <v/>
      </c>
      <c r="R84" s="9" t="str">
        <f aca="false">IF(Q84="","",INT(Q84)+1)</f>
        <v/>
      </c>
      <c r="S84" s="10" t="str">
        <f aca="false">IF(OR(Q84="",D84&lt;&gt;""),"",MIN(4.75,ROUND((Q84-INT(Q84))*16,0)/4+1))</f>
        <v/>
      </c>
      <c r="T84" s="11" t="str">
        <f aca="false">IF(OR(E84="",N(P84)&lt;=0),"",E84*P84/240)</f>
        <v/>
      </c>
      <c r="U84" s="9" t="str">
        <f aca="false">IF(Q84="","",IF(MIN(MOD(Q84,32),32-MOD(Q84,32))&lt;=0.25,32,IF(MIN(MOD(Q84,16),16-MOD(Q84,16))&lt;=0.25,16,IF(MIN(MOD(Q84,8),8-MOD(Q84,8))&lt;=0.25,8,""))))</f>
        <v/>
      </c>
      <c r="V84" s="9" t="str">
        <f aca="false">IF(OR(Q84="",T84=""),"",IF(MIN(MOD((Q84+T84),32),32-MOD((Q84+T84),32))&lt;=0.25,32,IF(MIN(MOD((Q84+T84),16),16-MOD((Q84+T84),16))&lt;=0.25,16,IF(MIN(MOD((Q84+T84),8),8-MOD((Q84+T84),8))&lt;=0.25,8,""))))</f>
        <v/>
      </c>
    </row>
    <row r="85" customFormat="false" ht="1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9" t="str">
        <f aca="false">IF(A85="","",IFERROR(INDEX(Tracks!$E$2:$E$41,MATCH(A85,Tracks!$A$2:$A$41,0)),"?"))</f>
        <v/>
      </c>
      <c r="P85" s="9" t="str">
        <f aca="false">IF(A85="","",IFERROR(N(INDEX(Tracks!$F$2:$F$41,MATCH(A85,Tracks!$A$2:$A$41,0))),""))</f>
        <v/>
      </c>
      <c r="Q85" s="10" t="str">
        <f aca="false">IF(D85&lt;&gt;"",D85-1,IF(OR(A85="",C85="",N(P85)&lt;=0),"",(N(B85)*60+C85-IFERROR(N(INDEX(Tracks!$G$2:$G$41,MATCH(A85,Tracks!$A$2:$A$41,0))),0))*P85/240))</f>
        <v/>
      </c>
      <c r="R85" s="9" t="str">
        <f aca="false">IF(Q85="","",INT(Q85)+1)</f>
        <v/>
      </c>
      <c r="S85" s="10" t="str">
        <f aca="false">IF(OR(Q85="",D85&lt;&gt;""),"",MIN(4.75,ROUND((Q85-INT(Q85))*16,0)/4+1))</f>
        <v/>
      </c>
      <c r="T85" s="11" t="str">
        <f aca="false">IF(OR(E85="",N(P85)&lt;=0),"",E85*P85/240)</f>
        <v/>
      </c>
      <c r="U85" s="9" t="str">
        <f aca="false">IF(Q85="","",IF(MIN(MOD(Q85,32),32-MOD(Q85,32))&lt;=0.25,32,IF(MIN(MOD(Q85,16),16-MOD(Q85,16))&lt;=0.25,16,IF(MIN(MOD(Q85,8),8-MOD(Q85,8))&lt;=0.25,8,""))))</f>
        <v/>
      </c>
      <c r="V85" s="9" t="str">
        <f aca="false">IF(OR(Q85="",T85=""),"",IF(MIN(MOD((Q85+T85),32),32-MOD((Q85+T85),32))&lt;=0.25,32,IF(MIN(MOD((Q85+T85),16),16-MOD((Q85+T85),16))&lt;=0.25,16,IF(MIN(MOD((Q85+T85),8),8-MOD((Q85+T85),8))&lt;=0.25,8,""))))</f>
        <v/>
      </c>
    </row>
    <row r="86" customFormat="false" ht="1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9" t="str">
        <f aca="false">IF(A86="","",IFERROR(INDEX(Tracks!$E$2:$E$41,MATCH(A86,Tracks!$A$2:$A$41,0)),"?"))</f>
        <v/>
      </c>
      <c r="P86" s="9" t="str">
        <f aca="false">IF(A86="","",IFERROR(N(INDEX(Tracks!$F$2:$F$41,MATCH(A86,Tracks!$A$2:$A$41,0))),""))</f>
        <v/>
      </c>
      <c r="Q86" s="10" t="str">
        <f aca="false">IF(D86&lt;&gt;"",D86-1,IF(OR(A86="",C86="",N(P86)&lt;=0),"",(N(B86)*60+C86-IFERROR(N(INDEX(Tracks!$G$2:$G$41,MATCH(A86,Tracks!$A$2:$A$41,0))),0))*P86/240))</f>
        <v/>
      </c>
      <c r="R86" s="9" t="str">
        <f aca="false">IF(Q86="","",INT(Q86)+1)</f>
        <v/>
      </c>
      <c r="S86" s="10" t="str">
        <f aca="false">IF(OR(Q86="",D86&lt;&gt;""),"",MIN(4.75,ROUND((Q86-INT(Q86))*16,0)/4+1))</f>
        <v/>
      </c>
      <c r="T86" s="11" t="str">
        <f aca="false">IF(OR(E86="",N(P86)&lt;=0),"",E86*P86/240)</f>
        <v/>
      </c>
      <c r="U86" s="9" t="str">
        <f aca="false">IF(Q86="","",IF(MIN(MOD(Q86,32),32-MOD(Q86,32))&lt;=0.25,32,IF(MIN(MOD(Q86,16),16-MOD(Q86,16))&lt;=0.25,16,IF(MIN(MOD(Q86,8),8-MOD(Q86,8))&lt;=0.25,8,""))))</f>
        <v/>
      </c>
      <c r="V86" s="9" t="str">
        <f aca="false">IF(OR(Q86="",T86=""),"",IF(MIN(MOD((Q86+T86),32),32-MOD((Q86+T86),32))&lt;=0.25,32,IF(MIN(MOD((Q86+T86),16),16-MOD((Q86+T86),16))&lt;=0.25,16,IF(MIN(MOD((Q86+T86),8),8-MOD((Q86+T86),8))&lt;=0.25,8,""))))</f>
        <v/>
      </c>
    </row>
    <row r="87" customFormat="false" ht="1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9" t="str">
        <f aca="false">IF(A87="","",IFERROR(INDEX(Tracks!$E$2:$E$41,MATCH(A87,Tracks!$A$2:$A$41,0)),"?"))</f>
        <v/>
      </c>
      <c r="P87" s="9" t="str">
        <f aca="false">IF(A87="","",IFERROR(N(INDEX(Tracks!$F$2:$F$41,MATCH(A87,Tracks!$A$2:$A$41,0))),""))</f>
        <v/>
      </c>
      <c r="Q87" s="10" t="str">
        <f aca="false">IF(D87&lt;&gt;"",D87-1,IF(OR(A87="",C87="",N(P87)&lt;=0),"",(N(B87)*60+C87-IFERROR(N(INDEX(Tracks!$G$2:$G$41,MATCH(A87,Tracks!$A$2:$A$41,0))),0))*P87/240))</f>
        <v/>
      </c>
      <c r="R87" s="9" t="str">
        <f aca="false">IF(Q87="","",INT(Q87)+1)</f>
        <v/>
      </c>
      <c r="S87" s="10" t="str">
        <f aca="false">IF(OR(Q87="",D87&lt;&gt;""),"",MIN(4.75,ROUND((Q87-INT(Q87))*16,0)/4+1))</f>
        <v/>
      </c>
      <c r="T87" s="11" t="str">
        <f aca="false">IF(OR(E87="",N(P87)&lt;=0),"",E87*P87/240)</f>
        <v/>
      </c>
      <c r="U87" s="9" t="str">
        <f aca="false">IF(Q87="","",IF(MIN(MOD(Q87,32),32-MOD(Q87,32))&lt;=0.25,32,IF(MIN(MOD(Q87,16),16-MOD(Q87,16))&lt;=0.25,16,IF(MIN(MOD(Q87,8),8-MOD(Q87,8))&lt;=0.25,8,""))))</f>
        <v/>
      </c>
      <c r="V87" s="9" t="str">
        <f aca="false">IF(OR(Q87="",T87=""),"",IF(MIN(MOD((Q87+T87),32),32-MOD((Q87+T87),32))&lt;=0.25,32,IF(MIN(MOD((Q87+T87),16),16-MOD((Q87+T87),16))&lt;=0.25,16,IF(MIN(MOD((Q87+T87),8),8-MOD((Q87+T87),8))&lt;=0.25,8,""))))</f>
        <v/>
      </c>
    </row>
    <row r="88" customFormat="false" ht="1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9" t="str">
        <f aca="false">IF(A88="","",IFERROR(INDEX(Tracks!$E$2:$E$41,MATCH(A88,Tracks!$A$2:$A$41,0)),"?"))</f>
        <v/>
      </c>
      <c r="P88" s="9" t="str">
        <f aca="false">IF(A88="","",IFERROR(N(INDEX(Tracks!$F$2:$F$41,MATCH(A88,Tracks!$A$2:$A$41,0))),""))</f>
        <v/>
      </c>
      <c r="Q88" s="10" t="str">
        <f aca="false">IF(D88&lt;&gt;"",D88-1,IF(OR(A88="",C88="",N(P88)&lt;=0),"",(N(B88)*60+C88-IFERROR(N(INDEX(Tracks!$G$2:$G$41,MATCH(A88,Tracks!$A$2:$A$41,0))),0))*P88/240))</f>
        <v/>
      </c>
      <c r="R88" s="9" t="str">
        <f aca="false">IF(Q88="","",INT(Q88)+1)</f>
        <v/>
      </c>
      <c r="S88" s="10" t="str">
        <f aca="false">IF(OR(Q88="",D88&lt;&gt;""),"",MIN(4.75,ROUND((Q88-INT(Q88))*16,0)/4+1))</f>
        <v/>
      </c>
      <c r="T88" s="11" t="str">
        <f aca="false">IF(OR(E88="",N(P88)&lt;=0),"",E88*P88/240)</f>
        <v/>
      </c>
      <c r="U88" s="9" t="str">
        <f aca="false">IF(Q88="","",IF(MIN(MOD(Q88,32),32-MOD(Q88,32))&lt;=0.25,32,IF(MIN(MOD(Q88,16),16-MOD(Q88,16))&lt;=0.25,16,IF(MIN(MOD(Q88,8),8-MOD(Q88,8))&lt;=0.25,8,""))))</f>
        <v/>
      </c>
      <c r="V88" s="9" t="str">
        <f aca="false">IF(OR(Q88="",T88=""),"",IF(MIN(MOD((Q88+T88),32),32-MOD((Q88+T88),32))&lt;=0.25,32,IF(MIN(MOD((Q88+T88),16),16-MOD((Q88+T88),16))&lt;=0.25,16,IF(MIN(MOD((Q88+T88),8),8-MOD((Q88+T88),8))&lt;=0.25,8,""))))</f>
        <v/>
      </c>
    </row>
    <row r="89" customFormat="false" ht="1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9" t="str">
        <f aca="false">IF(A89="","",IFERROR(INDEX(Tracks!$E$2:$E$41,MATCH(A89,Tracks!$A$2:$A$41,0)),"?"))</f>
        <v/>
      </c>
      <c r="P89" s="9" t="str">
        <f aca="false">IF(A89="","",IFERROR(N(INDEX(Tracks!$F$2:$F$41,MATCH(A89,Tracks!$A$2:$A$41,0))),""))</f>
        <v/>
      </c>
      <c r="Q89" s="10" t="str">
        <f aca="false">IF(D89&lt;&gt;"",D89-1,IF(OR(A89="",C89="",N(P89)&lt;=0),"",(N(B89)*60+C89-IFERROR(N(INDEX(Tracks!$G$2:$G$41,MATCH(A89,Tracks!$A$2:$A$41,0))),0))*P89/240))</f>
        <v/>
      </c>
      <c r="R89" s="9" t="str">
        <f aca="false">IF(Q89="","",INT(Q89)+1)</f>
        <v/>
      </c>
      <c r="S89" s="10" t="str">
        <f aca="false">IF(OR(Q89="",D89&lt;&gt;""),"",MIN(4.75,ROUND((Q89-INT(Q89))*16,0)/4+1))</f>
        <v/>
      </c>
      <c r="T89" s="11" t="str">
        <f aca="false">IF(OR(E89="",N(P89)&lt;=0),"",E89*P89/240)</f>
        <v/>
      </c>
      <c r="U89" s="9" t="str">
        <f aca="false">IF(Q89="","",IF(MIN(MOD(Q89,32),32-MOD(Q89,32))&lt;=0.25,32,IF(MIN(MOD(Q89,16),16-MOD(Q89,16))&lt;=0.25,16,IF(MIN(MOD(Q89,8),8-MOD(Q89,8))&lt;=0.25,8,""))))</f>
        <v/>
      </c>
      <c r="V89" s="9" t="str">
        <f aca="false">IF(OR(Q89="",T89=""),"",IF(MIN(MOD((Q89+T89),32),32-MOD((Q89+T89),32))&lt;=0.25,32,IF(MIN(MOD((Q89+T89),16),16-MOD((Q89+T89),16))&lt;=0.25,16,IF(MIN(MOD((Q89+T89),8),8-MOD((Q89+T89),8))&lt;=0.25,8,""))))</f>
        <v/>
      </c>
    </row>
    <row r="90" customFormat="false" ht="1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9" t="str">
        <f aca="false">IF(A90="","",IFERROR(INDEX(Tracks!$E$2:$E$41,MATCH(A90,Tracks!$A$2:$A$41,0)),"?"))</f>
        <v/>
      </c>
      <c r="P90" s="9" t="str">
        <f aca="false">IF(A90="","",IFERROR(N(INDEX(Tracks!$F$2:$F$41,MATCH(A90,Tracks!$A$2:$A$41,0))),""))</f>
        <v/>
      </c>
      <c r="Q90" s="10" t="str">
        <f aca="false">IF(D90&lt;&gt;"",D90-1,IF(OR(A90="",C90="",N(P90)&lt;=0),"",(N(B90)*60+C90-IFERROR(N(INDEX(Tracks!$G$2:$G$41,MATCH(A90,Tracks!$A$2:$A$41,0))),0))*P90/240))</f>
        <v/>
      </c>
      <c r="R90" s="9" t="str">
        <f aca="false">IF(Q90="","",INT(Q90)+1)</f>
        <v/>
      </c>
      <c r="S90" s="10" t="str">
        <f aca="false">IF(OR(Q90="",D90&lt;&gt;""),"",MIN(4.75,ROUND((Q90-INT(Q90))*16,0)/4+1))</f>
        <v/>
      </c>
      <c r="T90" s="11" t="str">
        <f aca="false">IF(OR(E90="",N(P90)&lt;=0),"",E90*P90/240)</f>
        <v/>
      </c>
      <c r="U90" s="9" t="str">
        <f aca="false">IF(Q90="","",IF(MIN(MOD(Q90,32),32-MOD(Q90,32))&lt;=0.25,32,IF(MIN(MOD(Q90,16),16-MOD(Q90,16))&lt;=0.25,16,IF(MIN(MOD(Q90,8),8-MOD(Q90,8))&lt;=0.25,8,""))))</f>
        <v/>
      </c>
      <c r="V90" s="9" t="str">
        <f aca="false">IF(OR(Q90="",T90=""),"",IF(MIN(MOD((Q90+T90),32),32-MOD((Q90+T90),32))&lt;=0.25,32,IF(MIN(MOD((Q90+T90),16),16-MOD((Q90+T90),16))&lt;=0.25,16,IF(MIN(MOD((Q90+T90),8),8-MOD((Q90+T90),8))&lt;=0.25,8,""))))</f>
        <v/>
      </c>
    </row>
    <row r="91" customFormat="false" ht="1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9" t="str">
        <f aca="false">IF(A91="","",IFERROR(INDEX(Tracks!$E$2:$E$41,MATCH(A91,Tracks!$A$2:$A$41,0)),"?"))</f>
        <v/>
      </c>
      <c r="P91" s="9" t="str">
        <f aca="false">IF(A91="","",IFERROR(N(INDEX(Tracks!$F$2:$F$41,MATCH(A91,Tracks!$A$2:$A$41,0))),""))</f>
        <v/>
      </c>
      <c r="Q91" s="10" t="str">
        <f aca="false">IF(D91&lt;&gt;"",D91-1,IF(OR(A91="",C91="",N(P91)&lt;=0),"",(N(B91)*60+C91-IFERROR(N(INDEX(Tracks!$G$2:$G$41,MATCH(A91,Tracks!$A$2:$A$41,0))),0))*P91/240))</f>
        <v/>
      </c>
      <c r="R91" s="9" t="str">
        <f aca="false">IF(Q91="","",INT(Q91)+1)</f>
        <v/>
      </c>
      <c r="S91" s="10" t="str">
        <f aca="false">IF(OR(Q91="",D91&lt;&gt;""),"",MIN(4.75,ROUND((Q91-INT(Q91))*16,0)/4+1))</f>
        <v/>
      </c>
      <c r="T91" s="11" t="str">
        <f aca="false">IF(OR(E91="",N(P91)&lt;=0),"",E91*P91/240)</f>
        <v/>
      </c>
      <c r="U91" s="9" t="str">
        <f aca="false">IF(Q91="","",IF(MIN(MOD(Q91,32),32-MOD(Q91,32))&lt;=0.25,32,IF(MIN(MOD(Q91,16),16-MOD(Q91,16))&lt;=0.25,16,IF(MIN(MOD(Q91,8),8-MOD(Q91,8))&lt;=0.25,8,""))))</f>
        <v/>
      </c>
      <c r="V91" s="9" t="str">
        <f aca="false">IF(OR(Q91="",T91=""),"",IF(MIN(MOD((Q91+T91),32),32-MOD((Q91+T91),32))&lt;=0.25,32,IF(MIN(MOD((Q91+T91),16),16-MOD((Q91+T91),16))&lt;=0.25,16,IF(MIN(MOD((Q91+T91),8),8-MOD((Q91+T91),8))&lt;=0.25,8,""))))</f>
        <v/>
      </c>
    </row>
    <row r="92" customFormat="false" ht="1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9" t="str">
        <f aca="false">IF(A92="","",IFERROR(INDEX(Tracks!$E$2:$E$41,MATCH(A92,Tracks!$A$2:$A$41,0)),"?"))</f>
        <v/>
      </c>
      <c r="P92" s="9" t="str">
        <f aca="false">IF(A92="","",IFERROR(N(INDEX(Tracks!$F$2:$F$41,MATCH(A92,Tracks!$A$2:$A$41,0))),""))</f>
        <v/>
      </c>
      <c r="Q92" s="10" t="str">
        <f aca="false">IF(D92&lt;&gt;"",D92-1,IF(OR(A92="",C92="",N(P92)&lt;=0),"",(N(B92)*60+C92-IFERROR(N(INDEX(Tracks!$G$2:$G$41,MATCH(A92,Tracks!$A$2:$A$41,0))),0))*P92/240))</f>
        <v/>
      </c>
      <c r="R92" s="9" t="str">
        <f aca="false">IF(Q92="","",INT(Q92)+1)</f>
        <v/>
      </c>
      <c r="S92" s="10" t="str">
        <f aca="false">IF(OR(Q92="",D92&lt;&gt;""),"",MIN(4.75,ROUND((Q92-INT(Q92))*16,0)/4+1))</f>
        <v/>
      </c>
      <c r="T92" s="11" t="str">
        <f aca="false">IF(OR(E92="",N(P92)&lt;=0),"",E92*P92/240)</f>
        <v/>
      </c>
      <c r="U92" s="9" t="str">
        <f aca="false">IF(Q92="","",IF(MIN(MOD(Q92,32),32-MOD(Q92,32))&lt;=0.25,32,IF(MIN(MOD(Q92,16),16-MOD(Q92,16))&lt;=0.25,16,IF(MIN(MOD(Q92,8),8-MOD(Q92,8))&lt;=0.25,8,""))))</f>
        <v/>
      </c>
      <c r="V92" s="9" t="str">
        <f aca="false">IF(OR(Q92="",T92=""),"",IF(MIN(MOD((Q92+T92),32),32-MOD((Q92+T92),32))&lt;=0.25,32,IF(MIN(MOD((Q92+T92),16),16-MOD((Q92+T92),16))&lt;=0.25,16,IF(MIN(MOD((Q92+T92),8),8-MOD((Q92+T92),8))&lt;=0.25,8,""))))</f>
        <v/>
      </c>
    </row>
    <row r="93" customFormat="false" ht="1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9" t="str">
        <f aca="false">IF(A93="","",IFERROR(INDEX(Tracks!$E$2:$E$41,MATCH(A93,Tracks!$A$2:$A$41,0)),"?"))</f>
        <v/>
      </c>
      <c r="P93" s="9" t="str">
        <f aca="false">IF(A93="","",IFERROR(N(INDEX(Tracks!$F$2:$F$41,MATCH(A93,Tracks!$A$2:$A$41,0))),""))</f>
        <v/>
      </c>
      <c r="Q93" s="10" t="str">
        <f aca="false">IF(D93&lt;&gt;"",D93-1,IF(OR(A93="",C93="",N(P93)&lt;=0),"",(N(B93)*60+C93-IFERROR(N(INDEX(Tracks!$G$2:$G$41,MATCH(A93,Tracks!$A$2:$A$41,0))),0))*P93/240))</f>
        <v/>
      </c>
      <c r="R93" s="9" t="str">
        <f aca="false">IF(Q93="","",INT(Q93)+1)</f>
        <v/>
      </c>
      <c r="S93" s="10" t="str">
        <f aca="false">IF(OR(Q93="",D93&lt;&gt;""),"",MIN(4.75,ROUND((Q93-INT(Q93))*16,0)/4+1))</f>
        <v/>
      </c>
      <c r="T93" s="11" t="str">
        <f aca="false">IF(OR(E93="",N(P93)&lt;=0),"",E93*P93/240)</f>
        <v/>
      </c>
      <c r="U93" s="9" t="str">
        <f aca="false">IF(Q93="","",IF(MIN(MOD(Q93,32),32-MOD(Q93,32))&lt;=0.25,32,IF(MIN(MOD(Q93,16),16-MOD(Q93,16))&lt;=0.25,16,IF(MIN(MOD(Q93,8),8-MOD(Q93,8))&lt;=0.25,8,""))))</f>
        <v/>
      </c>
      <c r="V93" s="9" t="str">
        <f aca="false">IF(OR(Q93="",T93=""),"",IF(MIN(MOD((Q93+T93),32),32-MOD((Q93+T93),32))&lt;=0.25,32,IF(MIN(MOD((Q93+T93),16),16-MOD((Q93+T93),16))&lt;=0.25,16,IF(MIN(MOD((Q93+T93),8),8-MOD((Q93+T93),8))&lt;=0.25,8,""))))</f>
        <v/>
      </c>
    </row>
    <row r="94" customFormat="false" ht="1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9" t="str">
        <f aca="false">IF(A94="","",IFERROR(INDEX(Tracks!$E$2:$E$41,MATCH(A94,Tracks!$A$2:$A$41,0)),"?"))</f>
        <v/>
      </c>
      <c r="P94" s="9" t="str">
        <f aca="false">IF(A94="","",IFERROR(N(INDEX(Tracks!$F$2:$F$41,MATCH(A94,Tracks!$A$2:$A$41,0))),""))</f>
        <v/>
      </c>
      <c r="Q94" s="10" t="str">
        <f aca="false">IF(D94&lt;&gt;"",D94-1,IF(OR(A94="",C94="",N(P94)&lt;=0),"",(N(B94)*60+C94-IFERROR(N(INDEX(Tracks!$G$2:$G$41,MATCH(A94,Tracks!$A$2:$A$41,0))),0))*P94/240))</f>
        <v/>
      </c>
      <c r="R94" s="9" t="str">
        <f aca="false">IF(Q94="","",INT(Q94)+1)</f>
        <v/>
      </c>
      <c r="S94" s="10" t="str">
        <f aca="false">IF(OR(Q94="",D94&lt;&gt;""),"",MIN(4.75,ROUND((Q94-INT(Q94))*16,0)/4+1))</f>
        <v/>
      </c>
      <c r="T94" s="11" t="str">
        <f aca="false">IF(OR(E94="",N(P94)&lt;=0),"",E94*P94/240)</f>
        <v/>
      </c>
      <c r="U94" s="9" t="str">
        <f aca="false">IF(Q94="","",IF(MIN(MOD(Q94,32),32-MOD(Q94,32))&lt;=0.25,32,IF(MIN(MOD(Q94,16),16-MOD(Q94,16))&lt;=0.25,16,IF(MIN(MOD(Q94,8),8-MOD(Q94,8))&lt;=0.25,8,""))))</f>
        <v/>
      </c>
      <c r="V94" s="9" t="str">
        <f aca="false">IF(OR(Q94="",T94=""),"",IF(MIN(MOD((Q94+T94),32),32-MOD((Q94+T94),32))&lt;=0.25,32,IF(MIN(MOD((Q94+T94),16),16-MOD((Q94+T94),16))&lt;=0.25,16,IF(MIN(MOD((Q94+T94),8),8-MOD((Q94+T94),8))&lt;=0.25,8,""))))</f>
        <v/>
      </c>
    </row>
    <row r="95" customFormat="false" ht="1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9" t="str">
        <f aca="false">IF(A95="","",IFERROR(INDEX(Tracks!$E$2:$E$41,MATCH(A95,Tracks!$A$2:$A$41,0)),"?"))</f>
        <v/>
      </c>
      <c r="P95" s="9" t="str">
        <f aca="false">IF(A95="","",IFERROR(N(INDEX(Tracks!$F$2:$F$41,MATCH(A95,Tracks!$A$2:$A$41,0))),""))</f>
        <v/>
      </c>
      <c r="Q95" s="10" t="str">
        <f aca="false">IF(D95&lt;&gt;"",D95-1,IF(OR(A95="",C95="",N(P95)&lt;=0),"",(N(B95)*60+C95-IFERROR(N(INDEX(Tracks!$G$2:$G$41,MATCH(A95,Tracks!$A$2:$A$41,0))),0))*P95/240))</f>
        <v/>
      </c>
      <c r="R95" s="9" t="str">
        <f aca="false">IF(Q95="","",INT(Q95)+1)</f>
        <v/>
      </c>
      <c r="S95" s="10" t="str">
        <f aca="false">IF(OR(Q95="",D95&lt;&gt;""),"",MIN(4.75,ROUND((Q95-INT(Q95))*16,0)/4+1))</f>
        <v/>
      </c>
      <c r="T95" s="11" t="str">
        <f aca="false">IF(OR(E95="",N(P95)&lt;=0),"",E95*P95/240)</f>
        <v/>
      </c>
      <c r="U95" s="9" t="str">
        <f aca="false">IF(Q95="","",IF(MIN(MOD(Q95,32),32-MOD(Q95,32))&lt;=0.25,32,IF(MIN(MOD(Q95,16),16-MOD(Q95,16))&lt;=0.25,16,IF(MIN(MOD(Q95,8),8-MOD(Q95,8))&lt;=0.25,8,""))))</f>
        <v/>
      </c>
      <c r="V95" s="9" t="str">
        <f aca="false">IF(OR(Q95="",T95=""),"",IF(MIN(MOD((Q95+T95),32),32-MOD((Q95+T95),32))&lt;=0.25,32,IF(MIN(MOD((Q95+T95),16),16-MOD((Q95+T95),16))&lt;=0.25,16,IF(MIN(MOD((Q95+T95),8),8-MOD((Q95+T95),8))&lt;=0.25,8,""))))</f>
        <v/>
      </c>
    </row>
    <row r="96" customFormat="false" ht="1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9" t="str">
        <f aca="false">IF(A96="","",IFERROR(INDEX(Tracks!$E$2:$E$41,MATCH(A96,Tracks!$A$2:$A$41,0)),"?"))</f>
        <v/>
      </c>
      <c r="P96" s="9" t="str">
        <f aca="false">IF(A96="","",IFERROR(N(INDEX(Tracks!$F$2:$F$41,MATCH(A96,Tracks!$A$2:$A$41,0))),""))</f>
        <v/>
      </c>
      <c r="Q96" s="10" t="str">
        <f aca="false">IF(D96&lt;&gt;"",D96-1,IF(OR(A96="",C96="",N(P96)&lt;=0),"",(N(B96)*60+C96-IFERROR(N(INDEX(Tracks!$G$2:$G$41,MATCH(A96,Tracks!$A$2:$A$41,0))),0))*P96/240))</f>
        <v/>
      </c>
      <c r="R96" s="9" t="str">
        <f aca="false">IF(Q96="","",INT(Q96)+1)</f>
        <v/>
      </c>
      <c r="S96" s="10" t="str">
        <f aca="false">IF(OR(Q96="",D96&lt;&gt;""),"",MIN(4.75,ROUND((Q96-INT(Q96))*16,0)/4+1))</f>
        <v/>
      </c>
      <c r="T96" s="11" t="str">
        <f aca="false">IF(OR(E96="",N(P96)&lt;=0),"",E96*P96/240)</f>
        <v/>
      </c>
      <c r="U96" s="9" t="str">
        <f aca="false">IF(Q96="","",IF(MIN(MOD(Q96,32),32-MOD(Q96,32))&lt;=0.25,32,IF(MIN(MOD(Q96,16),16-MOD(Q96,16))&lt;=0.25,16,IF(MIN(MOD(Q96,8),8-MOD(Q96,8))&lt;=0.25,8,""))))</f>
        <v/>
      </c>
      <c r="V96" s="9" t="str">
        <f aca="false">IF(OR(Q96="",T96=""),"",IF(MIN(MOD((Q96+T96),32),32-MOD((Q96+T96),32))&lt;=0.25,32,IF(MIN(MOD((Q96+T96),16),16-MOD((Q96+T96),16))&lt;=0.25,16,IF(MIN(MOD((Q96+T96),8),8-MOD((Q96+T96),8))&lt;=0.25,8,""))))</f>
        <v/>
      </c>
    </row>
    <row r="97" customFormat="false" ht="1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9" t="str">
        <f aca="false">IF(A97="","",IFERROR(INDEX(Tracks!$E$2:$E$41,MATCH(A97,Tracks!$A$2:$A$41,0)),"?"))</f>
        <v/>
      </c>
      <c r="P97" s="9" t="str">
        <f aca="false">IF(A97="","",IFERROR(N(INDEX(Tracks!$F$2:$F$41,MATCH(A97,Tracks!$A$2:$A$41,0))),""))</f>
        <v/>
      </c>
      <c r="Q97" s="10" t="str">
        <f aca="false">IF(D97&lt;&gt;"",D97-1,IF(OR(A97="",C97="",N(P97)&lt;=0),"",(N(B97)*60+C97-IFERROR(N(INDEX(Tracks!$G$2:$G$41,MATCH(A97,Tracks!$A$2:$A$41,0))),0))*P97/240))</f>
        <v/>
      </c>
      <c r="R97" s="9" t="str">
        <f aca="false">IF(Q97="","",INT(Q97)+1)</f>
        <v/>
      </c>
      <c r="S97" s="10" t="str">
        <f aca="false">IF(OR(Q97="",D97&lt;&gt;""),"",MIN(4.75,ROUND((Q97-INT(Q97))*16,0)/4+1))</f>
        <v/>
      </c>
      <c r="T97" s="11" t="str">
        <f aca="false">IF(OR(E97="",N(P97)&lt;=0),"",E97*P97/240)</f>
        <v/>
      </c>
      <c r="U97" s="9" t="str">
        <f aca="false">IF(Q97="","",IF(MIN(MOD(Q97,32),32-MOD(Q97,32))&lt;=0.25,32,IF(MIN(MOD(Q97,16),16-MOD(Q97,16))&lt;=0.25,16,IF(MIN(MOD(Q97,8),8-MOD(Q97,8))&lt;=0.25,8,""))))</f>
        <v/>
      </c>
      <c r="V97" s="9" t="str">
        <f aca="false">IF(OR(Q97="",T97=""),"",IF(MIN(MOD((Q97+T97),32),32-MOD((Q97+T97),32))&lt;=0.25,32,IF(MIN(MOD((Q97+T97),16),16-MOD((Q97+T97),16))&lt;=0.25,16,IF(MIN(MOD((Q97+T97),8),8-MOD((Q97+T97),8))&lt;=0.25,8,""))))</f>
        <v/>
      </c>
    </row>
    <row r="98" customFormat="false" ht="1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9" t="str">
        <f aca="false">IF(A98="","",IFERROR(INDEX(Tracks!$E$2:$E$41,MATCH(A98,Tracks!$A$2:$A$41,0)),"?"))</f>
        <v/>
      </c>
      <c r="P98" s="9" t="str">
        <f aca="false">IF(A98="","",IFERROR(N(INDEX(Tracks!$F$2:$F$41,MATCH(A98,Tracks!$A$2:$A$41,0))),""))</f>
        <v/>
      </c>
      <c r="Q98" s="10" t="str">
        <f aca="false">IF(D98&lt;&gt;"",D98-1,IF(OR(A98="",C98="",N(P98)&lt;=0),"",(N(B98)*60+C98-IFERROR(N(INDEX(Tracks!$G$2:$G$41,MATCH(A98,Tracks!$A$2:$A$41,0))),0))*P98/240))</f>
        <v/>
      </c>
      <c r="R98" s="9" t="str">
        <f aca="false">IF(Q98="","",INT(Q98)+1)</f>
        <v/>
      </c>
      <c r="S98" s="10" t="str">
        <f aca="false">IF(OR(Q98="",D98&lt;&gt;""),"",MIN(4.75,ROUND((Q98-INT(Q98))*16,0)/4+1))</f>
        <v/>
      </c>
      <c r="T98" s="11" t="str">
        <f aca="false">IF(OR(E98="",N(P98)&lt;=0),"",E98*P98/240)</f>
        <v/>
      </c>
      <c r="U98" s="9" t="str">
        <f aca="false">IF(Q98="","",IF(MIN(MOD(Q98,32),32-MOD(Q98,32))&lt;=0.25,32,IF(MIN(MOD(Q98,16),16-MOD(Q98,16))&lt;=0.25,16,IF(MIN(MOD(Q98,8),8-MOD(Q98,8))&lt;=0.25,8,""))))</f>
        <v/>
      </c>
      <c r="V98" s="9" t="str">
        <f aca="false">IF(OR(Q98="",T98=""),"",IF(MIN(MOD((Q98+T98),32),32-MOD((Q98+T98),32))&lt;=0.25,32,IF(MIN(MOD((Q98+T98),16),16-MOD((Q98+T98),16))&lt;=0.25,16,IF(MIN(MOD((Q98+T98),8),8-MOD((Q98+T98),8))&lt;=0.25,8,""))))</f>
        <v/>
      </c>
    </row>
    <row r="99" customFormat="false" ht="1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9" t="str">
        <f aca="false">IF(A99="","",IFERROR(INDEX(Tracks!$E$2:$E$41,MATCH(A99,Tracks!$A$2:$A$41,0)),"?"))</f>
        <v/>
      </c>
      <c r="P99" s="9" t="str">
        <f aca="false">IF(A99="","",IFERROR(N(INDEX(Tracks!$F$2:$F$41,MATCH(A99,Tracks!$A$2:$A$41,0))),""))</f>
        <v/>
      </c>
      <c r="Q99" s="10" t="str">
        <f aca="false">IF(D99&lt;&gt;"",D99-1,IF(OR(A99="",C99="",N(P99)&lt;=0),"",(N(B99)*60+C99-IFERROR(N(INDEX(Tracks!$G$2:$G$41,MATCH(A99,Tracks!$A$2:$A$41,0))),0))*P99/240))</f>
        <v/>
      </c>
      <c r="R99" s="9" t="str">
        <f aca="false">IF(Q99="","",INT(Q99)+1)</f>
        <v/>
      </c>
      <c r="S99" s="10" t="str">
        <f aca="false">IF(OR(Q99="",D99&lt;&gt;""),"",MIN(4.75,ROUND((Q99-INT(Q99))*16,0)/4+1))</f>
        <v/>
      </c>
      <c r="T99" s="11" t="str">
        <f aca="false">IF(OR(E99="",N(P99)&lt;=0),"",E99*P99/240)</f>
        <v/>
      </c>
      <c r="U99" s="9" t="str">
        <f aca="false">IF(Q99="","",IF(MIN(MOD(Q99,32),32-MOD(Q99,32))&lt;=0.25,32,IF(MIN(MOD(Q99,16),16-MOD(Q99,16))&lt;=0.25,16,IF(MIN(MOD(Q99,8),8-MOD(Q99,8))&lt;=0.25,8,""))))</f>
        <v/>
      </c>
      <c r="V99" s="9" t="str">
        <f aca="false">IF(OR(Q99="",T99=""),"",IF(MIN(MOD((Q99+T99),32),32-MOD((Q99+T99),32))&lt;=0.25,32,IF(MIN(MOD((Q99+T99),16),16-MOD((Q99+T99),16))&lt;=0.25,16,IF(MIN(MOD((Q99+T99),8),8-MOD((Q99+T99),8))&lt;=0.25,8,""))))</f>
        <v/>
      </c>
    </row>
    <row r="100" customFormat="false" ht="1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9" t="str">
        <f aca="false">IF(A100="","",IFERROR(INDEX(Tracks!$E$2:$E$41,MATCH(A100,Tracks!$A$2:$A$41,0)),"?"))</f>
        <v/>
      </c>
      <c r="P100" s="9" t="str">
        <f aca="false">IF(A100="","",IFERROR(N(INDEX(Tracks!$F$2:$F$41,MATCH(A100,Tracks!$A$2:$A$41,0))),""))</f>
        <v/>
      </c>
      <c r="Q100" s="10" t="str">
        <f aca="false">IF(D100&lt;&gt;"",D100-1,IF(OR(A100="",C100="",N(P100)&lt;=0),"",(N(B100)*60+C100-IFERROR(N(INDEX(Tracks!$G$2:$G$41,MATCH(A100,Tracks!$A$2:$A$41,0))),0))*P100/240))</f>
        <v/>
      </c>
      <c r="R100" s="9" t="str">
        <f aca="false">IF(Q100="","",INT(Q100)+1)</f>
        <v/>
      </c>
      <c r="S100" s="10" t="str">
        <f aca="false">IF(OR(Q100="",D100&lt;&gt;""),"",MIN(4.75,ROUND((Q100-INT(Q100))*16,0)/4+1))</f>
        <v/>
      </c>
      <c r="T100" s="11" t="str">
        <f aca="false">IF(OR(E100="",N(P100)&lt;=0),"",E100*P100/240)</f>
        <v/>
      </c>
      <c r="U100" s="9" t="str">
        <f aca="false">IF(Q100="","",IF(MIN(MOD(Q100,32),32-MOD(Q100,32))&lt;=0.25,32,IF(MIN(MOD(Q100,16),16-MOD(Q100,16))&lt;=0.25,16,IF(MIN(MOD(Q100,8),8-MOD(Q100,8))&lt;=0.25,8,""))))</f>
        <v/>
      </c>
      <c r="V100" s="9" t="str">
        <f aca="false">IF(OR(Q100="",T100=""),"",IF(MIN(MOD((Q100+T100),32),32-MOD((Q100+T100),32))&lt;=0.25,32,IF(MIN(MOD((Q100+T100),16),16-MOD((Q100+T100),16))&lt;=0.25,16,IF(MIN(MOD((Q100+T100),8),8-MOD((Q100+T100),8))&lt;=0.25,8,""))))</f>
        <v/>
      </c>
    </row>
    <row r="101" customFormat="false" ht="1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9" t="str">
        <f aca="false">IF(A101="","",IFERROR(INDEX(Tracks!$E$2:$E$41,MATCH(A101,Tracks!$A$2:$A$41,0)),"?"))</f>
        <v/>
      </c>
      <c r="P101" s="9" t="str">
        <f aca="false">IF(A101="","",IFERROR(N(INDEX(Tracks!$F$2:$F$41,MATCH(A101,Tracks!$A$2:$A$41,0))),""))</f>
        <v/>
      </c>
      <c r="Q101" s="10" t="str">
        <f aca="false">IF(D101&lt;&gt;"",D101-1,IF(OR(A101="",C101="",N(P101)&lt;=0),"",(N(B101)*60+C101-IFERROR(N(INDEX(Tracks!$G$2:$G$41,MATCH(A101,Tracks!$A$2:$A$41,0))),0))*P101/240))</f>
        <v/>
      </c>
      <c r="R101" s="9" t="str">
        <f aca="false">IF(Q101="","",INT(Q101)+1)</f>
        <v/>
      </c>
      <c r="S101" s="10" t="str">
        <f aca="false">IF(OR(Q101="",D101&lt;&gt;""),"",MIN(4.75,ROUND((Q101-INT(Q101))*16,0)/4+1))</f>
        <v/>
      </c>
      <c r="T101" s="11" t="str">
        <f aca="false">IF(OR(E101="",N(P101)&lt;=0),"",E101*P101/240)</f>
        <v/>
      </c>
      <c r="U101" s="9" t="str">
        <f aca="false">IF(Q101="","",IF(MIN(MOD(Q101,32),32-MOD(Q101,32))&lt;=0.25,32,IF(MIN(MOD(Q101,16),16-MOD(Q101,16))&lt;=0.25,16,IF(MIN(MOD(Q101,8),8-MOD(Q101,8))&lt;=0.25,8,""))))</f>
        <v/>
      </c>
      <c r="V101" s="9" t="str">
        <f aca="false">IF(OR(Q101="",T101=""),"",IF(MIN(MOD((Q101+T101),32),32-MOD((Q101+T101),32))&lt;=0.25,32,IF(MIN(MOD((Q101+T101),16),16-MOD((Q101+T101),16))&lt;=0.25,16,IF(MIN(MOD((Q101+T101),8),8-MOD((Q101+T101),8))&lt;=0.25,8,""))))</f>
        <v/>
      </c>
    </row>
    <row r="102" customFormat="false" ht="1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9" t="str">
        <f aca="false">IF(A102="","",IFERROR(INDEX(Tracks!$E$2:$E$41,MATCH(A102,Tracks!$A$2:$A$41,0)),"?"))</f>
        <v/>
      </c>
      <c r="P102" s="9" t="str">
        <f aca="false">IF(A102="","",IFERROR(N(INDEX(Tracks!$F$2:$F$41,MATCH(A102,Tracks!$A$2:$A$41,0))),""))</f>
        <v/>
      </c>
      <c r="Q102" s="10" t="str">
        <f aca="false">IF(D102&lt;&gt;"",D102-1,IF(OR(A102="",C102="",N(P102)&lt;=0),"",(N(B102)*60+C102-IFERROR(N(INDEX(Tracks!$G$2:$G$41,MATCH(A102,Tracks!$A$2:$A$41,0))),0))*P102/240))</f>
        <v/>
      </c>
      <c r="R102" s="9" t="str">
        <f aca="false">IF(Q102="","",INT(Q102)+1)</f>
        <v/>
      </c>
      <c r="S102" s="10" t="str">
        <f aca="false">IF(OR(Q102="",D102&lt;&gt;""),"",MIN(4.75,ROUND((Q102-INT(Q102))*16,0)/4+1))</f>
        <v/>
      </c>
      <c r="T102" s="11" t="str">
        <f aca="false">IF(OR(E102="",N(P102)&lt;=0),"",E102*P102/240)</f>
        <v/>
      </c>
      <c r="U102" s="9" t="str">
        <f aca="false">IF(Q102="","",IF(MIN(MOD(Q102,32),32-MOD(Q102,32))&lt;=0.25,32,IF(MIN(MOD(Q102,16),16-MOD(Q102,16))&lt;=0.25,16,IF(MIN(MOD(Q102,8),8-MOD(Q102,8))&lt;=0.25,8,""))))</f>
        <v/>
      </c>
      <c r="V102" s="9" t="str">
        <f aca="false">IF(OR(Q102="",T102=""),"",IF(MIN(MOD((Q102+T102),32),32-MOD((Q102+T102),32))&lt;=0.25,32,IF(MIN(MOD((Q102+T102),16),16-MOD((Q102+T102),16))&lt;=0.25,16,IF(MIN(MOD((Q102+T102),8),8-MOD((Q102+T102),8))&lt;=0.25,8,""))))</f>
        <v/>
      </c>
    </row>
    <row r="103" customFormat="false" ht="1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9" t="str">
        <f aca="false">IF(A103="","",IFERROR(INDEX(Tracks!$E$2:$E$41,MATCH(A103,Tracks!$A$2:$A$41,0)),"?"))</f>
        <v/>
      </c>
      <c r="P103" s="9" t="str">
        <f aca="false">IF(A103="","",IFERROR(N(INDEX(Tracks!$F$2:$F$41,MATCH(A103,Tracks!$A$2:$A$41,0))),""))</f>
        <v/>
      </c>
      <c r="Q103" s="10" t="str">
        <f aca="false">IF(D103&lt;&gt;"",D103-1,IF(OR(A103="",C103="",N(P103)&lt;=0),"",(N(B103)*60+C103-IFERROR(N(INDEX(Tracks!$G$2:$G$41,MATCH(A103,Tracks!$A$2:$A$41,0))),0))*P103/240))</f>
        <v/>
      </c>
      <c r="R103" s="9" t="str">
        <f aca="false">IF(Q103="","",INT(Q103)+1)</f>
        <v/>
      </c>
      <c r="S103" s="10" t="str">
        <f aca="false">IF(OR(Q103="",D103&lt;&gt;""),"",MIN(4.75,ROUND((Q103-INT(Q103))*16,0)/4+1))</f>
        <v/>
      </c>
      <c r="T103" s="11" t="str">
        <f aca="false">IF(OR(E103="",N(P103)&lt;=0),"",E103*P103/240)</f>
        <v/>
      </c>
      <c r="U103" s="9" t="str">
        <f aca="false">IF(Q103="","",IF(MIN(MOD(Q103,32),32-MOD(Q103,32))&lt;=0.25,32,IF(MIN(MOD(Q103,16),16-MOD(Q103,16))&lt;=0.25,16,IF(MIN(MOD(Q103,8),8-MOD(Q103,8))&lt;=0.25,8,""))))</f>
        <v/>
      </c>
      <c r="V103" s="9" t="str">
        <f aca="false">IF(OR(Q103="",T103=""),"",IF(MIN(MOD((Q103+T103),32),32-MOD((Q103+T103),32))&lt;=0.25,32,IF(MIN(MOD((Q103+T103),16),16-MOD((Q103+T103),16))&lt;=0.25,16,IF(MIN(MOD((Q103+T103),8),8-MOD((Q103+T103),8))&lt;=0.25,8,""))))</f>
        <v/>
      </c>
    </row>
    <row r="104" customFormat="false" ht="1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9" t="str">
        <f aca="false">IF(A104="","",IFERROR(INDEX(Tracks!$E$2:$E$41,MATCH(A104,Tracks!$A$2:$A$41,0)),"?"))</f>
        <v/>
      </c>
      <c r="P104" s="9" t="str">
        <f aca="false">IF(A104="","",IFERROR(N(INDEX(Tracks!$F$2:$F$41,MATCH(A104,Tracks!$A$2:$A$41,0))),""))</f>
        <v/>
      </c>
      <c r="Q104" s="10" t="str">
        <f aca="false">IF(D104&lt;&gt;"",D104-1,IF(OR(A104="",C104="",N(P104)&lt;=0),"",(N(B104)*60+C104-IFERROR(N(INDEX(Tracks!$G$2:$G$41,MATCH(A104,Tracks!$A$2:$A$41,0))),0))*P104/240))</f>
        <v/>
      </c>
      <c r="R104" s="9" t="str">
        <f aca="false">IF(Q104="","",INT(Q104)+1)</f>
        <v/>
      </c>
      <c r="S104" s="10" t="str">
        <f aca="false">IF(OR(Q104="",D104&lt;&gt;""),"",MIN(4.75,ROUND((Q104-INT(Q104))*16,0)/4+1))</f>
        <v/>
      </c>
      <c r="T104" s="11" t="str">
        <f aca="false">IF(OR(E104="",N(P104)&lt;=0),"",E104*P104/240)</f>
        <v/>
      </c>
      <c r="U104" s="9" t="str">
        <f aca="false">IF(Q104="","",IF(MIN(MOD(Q104,32),32-MOD(Q104,32))&lt;=0.25,32,IF(MIN(MOD(Q104,16),16-MOD(Q104,16))&lt;=0.25,16,IF(MIN(MOD(Q104,8),8-MOD(Q104,8))&lt;=0.25,8,""))))</f>
        <v/>
      </c>
      <c r="V104" s="9" t="str">
        <f aca="false">IF(OR(Q104="",T104=""),"",IF(MIN(MOD((Q104+T104),32),32-MOD((Q104+T104),32))&lt;=0.25,32,IF(MIN(MOD((Q104+T104),16),16-MOD((Q104+T104),16))&lt;=0.25,16,IF(MIN(MOD((Q104+T104),8),8-MOD((Q104+T104),8))&lt;=0.25,8,""))))</f>
        <v/>
      </c>
    </row>
    <row r="105" customFormat="false" ht="1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9" t="str">
        <f aca="false">IF(A105="","",IFERROR(INDEX(Tracks!$E$2:$E$41,MATCH(A105,Tracks!$A$2:$A$41,0)),"?"))</f>
        <v/>
      </c>
      <c r="P105" s="9" t="str">
        <f aca="false">IF(A105="","",IFERROR(N(INDEX(Tracks!$F$2:$F$41,MATCH(A105,Tracks!$A$2:$A$41,0))),""))</f>
        <v/>
      </c>
      <c r="Q105" s="10" t="str">
        <f aca="false">IF(D105&lt;&gt;"",D105-1,IF(OR(A105="",C105="",N(P105)&lt;=0),"",(N(B105)*60+C105-IFERROR(N(INDEX(Tracks!$G$2:$G$41,MATCH(A105,Tracks!$A$2:$A$41,0))),0))*P105/240))</f>
        <v/>
      </c>
      <c r="R105" s="9" t="str">
        <f aca="false">IF(Q105="","",INT(Q105)+1)</f>
        <v/>
      </c>
      <c r="S105" s="10" t="str">
        <f aca="false">IF(OR(Q105="",D105&lt;&gt;""),"",MIN(4.75,ROUND((Q105-INT(Q105))*16,0)/4+1))</f>
        <v/>
      </c>
      <c r="T105" s="11" t="str">
        <f aca="false">IF(OR(E105="",N(P105)&lt;=0),"",E105*P105/240)</f>
        <v/>
      </c>
      <c r="U105" s="9" t="str">
        <f aca="false">IF(Q105="","",IF(MIN(MOD(Q105,32),32-MOD(Q105,32))&lt;=0.25,32,IF(MIN(MOD(Q105,16),16-MOD(Q105,16))&lt;=0.25,16,IF(MIN(MOD(Q105,8),8-MOD(Q105,8))&lt;=0.25,8,""))))</f>
        <v/>
      </c>
      <c r="V105" s="9" t="str">
        <f aca="false">IF(OR(Q105="",T105=""),"",IF(MIN(MOD((Q105+T105),32),32-MOD((Q105+T105),32))&lt;=0.25,32,IF(MIN(MOD((Q105+T105),16),16-MOD((Q105+T105),16))&lt;=0.25,16,IF(MIN(MOD((Q105+T105),8),8-MOD((Q105+T105),8))&lt;=0.25,8,""))))</f>
        <v/>
      </c>
    </row>
    <row r="106" customFormat="false" ht="1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9" t="str">
        <f aca="false">IF(A106="","",IFERROR(INDEX(Tracks!$E$2:$E$41,MATCH(A106,Tracks!$A$2:$A$41,0)),"?"))</f>
        <v/>
      </c>
      <c r="P106" s="9" t="str">
        <f aca="false">IF(A106="","",IFERROR(N(INDEX(Tracks!$F$2:$F$41,MATCH(A106,Tracks!$A$2:$A$41,0))),""))</f>
        <v/>
      </c>
      <c r="Q106" s="10" t="str">
        <f aca="false">IF(D106&lt;&gt;"",D106-1,IF(OR(A106="",C106="",N(P106)&lt;=0),"",(N(B106)*60+C106-IFERROR(N(INDEX(Tracks!$G$2:$G$41,MATCH(A106,Tracks!$A$2:$A$41,0))),0))*P106/240))</f>
        <v/>
      </c>
      <c r="R106" s="9" t="str">
        <f aca="false">IF(Q106="","",INT(Q106)+1)</f>
        <v/>
      </c>
      <c r="S106" s="10" t="str">
        <f aca="false">IF(OR(Q106="",D106&lt;&gt;""),"",MIN(4.75,ROUND((Q106-INT(Q106))*16,0)/4+1))</f>
        <v/>
      </c>
      <c r="T106" s="11" t="str">
        <f aca="false">IF(OR(E106="",N(P106)&lt;=0),"",E106*P106/240)</f>
        <v/>
      </c>
      <c r="U106" s="9" t="str">
        <f aca="false">IF(Q106="","",IF(MIN(MOD(Q106,32),32-MOD(Q106,32))&lt;=0.25,32,IF(MIN(MOD(Q106,16),16-MOD(Q106,16))&lt;=0.25,16,IF(MIN(MOD(Q106,8),8-MOD(Q106,8))&lt;=0.25,8,""))))</f>
        <v/>
      </c>
      <c r="V106" s="9" t="str">
        <f aca="false">IF(OR(Q106="",T106=""),"",IF(MIN(MOD((Q106+T106),32),32-MOD((Q106+T106),32))&lt;=0.25,32,IF(MIN(MOD((Q106+T106),16),16-MOD((Q106+T106),16))&lt;=0.25,16,IF(MIN(MOD((Q106+T106),8),8-MOD((Q106+T106),8))&lt;=0.25,8,""))))</f>
        <v/>
      </c>
    </row>
    <row r="107" customFormat="false" ht="1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9" t="str">
        <f aca="false">IF(A107="","",IFERROR(INDEX(Tracks!$E$2:$E$41,MATCH(A107,Tracks!$A$2:$A$41,0)),"?"))</f>
        <v/>
      </c>
      <c r="P107" s="9" t="str">
        <f aca="false">IF(A107="","",IFERROR(N(INDEX(Tracks!$F$2:$F$41,MATCH(A107,Tracks!$A$2:$A$41,0))),""))</f>
        <v/>
      </c>
      <c r="Q107" s="10" t="str">
        <f aca="false">IF(D107&lt;&gt;"",D107-1,IF(OR(A107="",C107="",N(P107)&lt;=0),"",(N(B107)*60+C107-IFERROR(N(INDEX(Tracks!$G$2:$G$41,MATCH(A107,Tracks!$A$2:$A$41,0))),0))*P107/240))</f>
        <v/>
      </c>
      <c r="R107" s="9" t="str">
        <f aca="false">IF(Q107="","",INT(Q107)+1)</f>
        <v/>
      </c>
      <c r="S107" s="10" t="str">
        <f aca="false">IF(OR(Q107="",D107&lt;&gt;""),"",MIN(4.75,ROUND((Q107-INT(Q107))*16,0)/4+1))</f>
        <v/>
      </c>
      <c r="T107" s="11" t="str">
        <f aca="false">IF(OR(E107="",N(P107)&lt;=0),"",E107*P107/240)</f>
        <v/>
      </c>
      <c r="U107" s="9" t="str">
        <f aca="false">IF(Q107="","",IF(MIN(MOD(Q107,32),32-MOD(Q107,32))&lt;=0.25,32,IF(MIN(MOD(Q107,16),16-MOD(Q107,16))&lt;=0.25,16,IF(MIN(MOD(Q107,8),8-MOD(Q107,8))&lt;=0.25,8,""))))</f>
        <v/>
      </c>
      <c r="V107" s="9" t="str">
        <f aca="false">IF(OR(Q107="",T107=""),"",IF(MIN(MOD((Q107+T107),32),32-MOD((Q107+T107),32))&lt;=0.25,32,IF(MIN(MOD((Q107+T107),16),16-MOD((Q107+T107),16))&lt;=0.25,16,IF(MIN(MOD((Q107+T107),8),8-MOD((Q107+T107),8))&lt;=0.25,8,""))))</f>
        <v/>
      </c>
    </row>
    <row r="108" customFormat="false" ht="1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9" t="str">
        <f aca="false">IF(A108="","",IFERROR(INDEX(Tracks!$E$2:$E$41,MATCH(A108,Tracks!$A$2:$A$41,0)),"?"))</f>
        <v/>
      </c>
      <c r="P108" s="9" t="str">
        <f aca="false">IF(A108="","",IFERROR(N(INDEX(Tracks!$F$2:$F$41,MATCH(A108,Tracks!$A$2:$A$41,0))),""))</f>
        <v/>
      </c>
      <c r="Q108" s="10" t="str">
        <f aca="false">IF(D108&lt;&gt;"",D108-1,IF(OR(A108="",C108="",N(P108)&lt;=0),"",(N(B108)*60+C108-IFERROR(N(INDEX(Tracks!$G$2:$G$41,MATCH(A108,Tracks!$A$2:$A$41,0))),0))*P108/240))</f>
        <v/>
      </c>
      <c r="R108" s="9" t="str">
        <f aca="false">IF(Q108="","",INT(Q108)+1)</f>
        <v/>
      </c>
      <c r="S108" s="10" t="str">
        <f aca="false">IF(OR(Q108="",D108&lt;&gt;""),"",MIN(4.75,ROUND((Q108-INT(Q108))*16,0)/4+1))</f>
        <v/>
      </c>
      <c r="T108" s="11" t="str">
        <f aca="false">IF(OR(E108="",N(P108)&lt;=0),"",E108*P108/240)</f>
        <v/>
      </c>
      <c r="U108" s="9" t="str">
        <f aca="false">IF(Q108="","",IF(MIN(MOD(Q108,32),32-MOD(Q108,32))&lt;=0.25,32,IF(MIN(MOD(Q108,16),16-MOD(Q108,16))&lt;=0.25,16,IF(MIN(MOD(Q108,8),8-MOD(Q108,8))&lt;=0.25,8,""))))</f>
        <v/>
      </c>
      <c r="V108" s="9" t="str">
        <f aca="false">IF(OR(Q108="",T108=""),"",IF(MIN(MOD((Q108+T108),32),32-MOD((Q108+T108),32))&lt;=0.25,32,IF(MIN(MOD((Q108+T108),16),16-MOD((Q108+T108),16))&lt;=0.25,16,IF(MIN(MOD((Q108+T108),8),8-MOD((Q108+T108),8))&lt;=0.25,8,""))))</f>
        <v/>
      </c>
    </row>
    <row r="109" customFormat="false" ht="1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9" t="str">
        <f aca="false">IF(A109="","",IFERROR(INDEX(Tracks!$E$2:$E$41,MATCH(A109,Tracks!$A$2:$A$41,0)),"?"))</f>
        <v/>
      </c>
      <c r="P109" s="9" t="str">
        <f aca="false">IF(A109="","",IFERROR(N(INDEX(Tracks!$F$2:$F$41,MATCH(A109,Tracks!$A$2:$A$41,0))),""))</f>
        <v/>
      </c>
      <c r="Q109" s="10" t="str">
        <f aca="false">IF(D109&lt;&gt;"",D109-1,IF(OR(A109="",C109="",N(P109)&lt;=0),"",(N(B109)*60+C109-IFERROR(N(INDEX(Tracks!$G$2:$G$41,MATCH(A109,Tracks!$A$2:$A$41,0))),0))*P109/240))</f>
        <v/>
      </c>
      <c r="R109" s="9" t="str">
        <f aca="false">IF(Q109="","",INT(Q109)+1)</f>
        <v/>
      </c>
      <c r="S109" s="10" t="str">
        <f aca="false">IF(OR(Q109="",D109&lt;&gt;""),"",MIN(4.75,ROUND((Q109-INT(Q109))*16,0)/4+1))</f>
        <v/>
      </c>
      <c r="T109" s="11" t="str">
        <f aca="false">IF(OR(E109="",N(P109)&lt;=0),"",E109*P109/240)</f>
        <v/>
      </c>
      <c r="U109" s="9" t="str">
        <f aca="false">IF(Q109="","",IF(MIN(MOD(Q109,32),32-MOD(Q109,32))&lt;=0.25,32,IF(MIN(MOD(Q109,16),16-MOD(Q109,16))&lt;=0.25,16,IF(MIN(MOD(Q109,8),8-MOD(Q109,8))&lt;=0.25,8,""))))</f>
        <v/>
      </c>
      <c r="V109" s="9" t="str">
        <f aca="false">IF(OR(Q109="",T109=""),"",IF(MIN(MOD((Q109+T109),32),32-MOD((Q109+T109),32))&lt;=0.25,32,IF(MIN(MOD((Q109+T109),16),16-MOD((Q109+T109),16))&lt;=0.25,16,IF(MIN(MOD((Q109+T109),8),8-MOD((Q109+T109),8))&lt;=0.25,8,""))))</f>
        <v/>
      </c>
    </row>
    <row r="110" customFormat="false" ht="1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9" t="str">
        <f aca="false">IF(A110="","",IFERROR(INDEX(Tracks!$E$2:$E$41,MATCH(A110,Tracks!$A$2:$A$41,0)),"?"))</f>
        <v/>
      </c>
      <c r="P110" s="9" t="str">
        <f aca="false">IF(A110="","",IFERROR(N(INDEX(Tracks!$F$2:$F$41,MATCH(A110,Tracks!$A$2:$A$41,0))),""))</f>
        <v/>
      </c>
      <c r="Q110" s="10" t="str">
        <f aca="false">IF(D110&lt;&gt;"",D110-1,IF(OR(A110="",C110="",N(P110)&lt;=0),"",(N(B110)*60+C110-IFERROR(N(INDEX(Tracks!$G$2:$G$41,MATCH(A110,Tracks!$A$2:$A$41,0))),0))*P110/240))</f>
        <v/>
      </c>
      <c r="R110" s="9" t="str">
        <f aca="false">IF(Q110="","",INT(Q110)+1)</f>
        <v/>
      </c>
      <c r="S110" s="10" t="str">
        <f aca="false">IF(OR(Q110="",D110&lt;&gt;""),"",MIN(4.75,ROUND((Q110-INT(Q110))*16,0)/4+1))</f>
        <v/>
      </c>
      <c r="T110" s="11" t="str">
        <f aca="false">IF(OR(E110="",N(P110)&lt;=0),"",E110*P110/240)</f>
        <v/>
      </c>
      <c r="U110" s="9" t="str">
        <f aca="false">IF(Q110="","",IF(MIN(MOD(Q110,32),32-MOD(Q110,32))&lt;=0.25,32,IF(MIN(MOD(Q110,16),16-MOD(Q110,16))&lt;=0.25,16,IF(MIN(MOD(Q110,8),8-MOD(Q110,8))&lt;=0.25,8,""))))</f>
        <v/>
      </c>
      <c r="V110" s="9" t="str">
        <f aca="false">IF(OR(Q110="",T110=""),"",IF(MIN(MOD((Q110+T110),32),32-MOD((Q110+T110),32))&lt;=0.25,32,IF(MIN(MOD((Q110+T110),16),16-MOD((Q110+T110),16))&lt;=0.25,16,IF(MIN(MOD((Q110+T110),8),8-MOD((Q110+T110),8))&lt;=0.25,8,""))))</f>
        <v/>
      </c>
    </row>
    <row r="111" customFormat="false" ht="1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9" t="str">
        <f aca="false">IF(A111="","",IFERROR(INDEX(Tracks!$E$2:$E$41,MATCH(A111,Tracks!$A$2:$A$41,0)),"?"))</f>
        <v/>
      </c>
      <c r="P111" s="9" t="str">
        <f aca="false">IF(A111="","",IFERROR(N(INDEX(Tracks!$F$2:$F$41,MATCH(A111,Tracks!$A$2:$A$41,0))),""))</f>
        <v/>
      </c>
      <c r="Q111" s="10" t="str">
        <f aca="false">IF(D111&lt;&gt;"",D111-1,IF(OR(A111="",C111="",N(P111)&lt;=0),"",(N(B111)*60+C111-IFERROR(N(INDEX(Tracks!$G$2:$G$41,MATCH(A111,Tracks!$A$2:$A$41,0))),0))*P111/240))</f>
        <v/>
      </c>
      <c r="R111" s="9" t="str">
        <f aca="false">IF(Q111="","",INT(Q111)+1)</f>
        <v/>
      </c>
      <c r="S111" s="10" t="str">
        <f aca="false">IF(OR(Q111="",D111&lt;&gt;""),"",MIN(4.75,ROUND((Q111-INT(Q111))*16,0)/4+1))</f>
        <v/>
      </c>
      <c r="T111" s="11" t="str">
        <f aca="false">IF(OR(E111="",N(P111)&lt;=0),"",E111*P111/240)</f>
        <v/>
      </c>
      <c r="U111" s="9" t="str">
        <f aca="false">IF(Q111="","",IF(MIN(MOD(Q111,32),32-MOD(Q111,32))&lt;=0.25,32,IF(MIN(MOD(Q111,16),16-MOD(Q111,16))&lt;=0.25,16,IF(MIN(MOD(Q111,8),8-MOD(Q111,8))&lt;=0.25,8,""))))</f>
        <v/>
      </c>
      <c r="V111" s="9" t="str">
        <f aca="false">IF(OR(Q111="",T111=""),"",IF(MIN(MOD((Q111+T111),32),32-MOD((Q111+T111),32))&lt;=0.25,32,IF(MIN(MOD((Q111+T111),16),16-MOD((Q111+T111),16))&lt;=0.25,16,IF(MIN(MOD((Q111+T111),8),8-MOD((Q111+T111),8))&lt;=0.25,8,""))))</f>
        <v/>
      </c>
    </row>
    <row r="112" customFormat="false" ht="1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9" t="str">
        <f aca="false">IF(A112="","",IFERROR(INDEX(Tracks!$E$2:$E$41,MATCH(A112,Tracks!$A$2:$A$41,0)),"?"))</f>
        <v/>
      </c>
      <c r="P112" s="9" t="str">
        <f aca="false">IF(A112="","",IFERROR(N(INDEX(Tracks!$F$2:$F$41,MATCH(A112,Tracks!$A$2:$A$41,0))),""))</f>
        <v/>
      </c>
      <c r="Q112" s="10" t="str">
        <f aca="false">IF(D112&lt;&gt;"",D112-1,IF(OR(A112="",C112="",N(P112)&lt;=0),"",(N(B112)*60+C112-IFERROR(N(INDEX(Tracks!$G$2:$G$41,MATCH(A112,Tracks!$A$2:$A$41,0))),0))*P112/240))</f>
        <v/>
      </c>
      <c r="R112" s="9" t="str">
        <f aca="false">IF(Q112="","",INT(Q112)+1)</f>
        <v/>
      </c>
      <c r="S112" s="10" t="str">
        <f aca="false">IF(OR(Q112="",D112&lt;&gt;""),"",MIN(4.75,ROUND((Q112-INT(Q112))*16,0)/4+1))</f>
        <v/>
      </c>
      <c r="T112" s="11" t="str">
        <f aca="false">IF(OR(E112="",N(P112)&lt;=0),"",E112*P112/240)</f>
        <v/>
      </c>
      <c r="U112" s="9" t="str">
        <f aca="false">IF(Q112="","",IF(MIN(MOD(Q112,32),32-MOD(Q112,32))&lt;=0.25,32,IF(MIN(MOD(Q112,16),16-MOD(Q112,16))&lt;=0.25,16,IF(MIN(MOD(Q112,8),8-MOD(Q112,8))&lt;=0.25,8,""))))</f>
        <v/>
      </c>
      <c r="V112" s="9" t="str">
        <f aca="false">IF(OR(Q112="",T112=""),"",IF(MIN(MOD((Q112+T112),32),32-MOD((Q112+T112),32))&lt;=0.25,32,IF(MIN(MOD((Q112+T112),16),16-MOD((Q112+T112),16))&lt;=0.25,16,IF(MIN(MOD((Q112+T112),8),8-MOD((Q112+T112),8))&lt;=0.25,8,""))))</f>
        <v/>
      </c>
    </row>
    <row r="113" customFormat="false" ht="1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9" t="str">
        <f aca="false">IF(A113="","",IFERROR(INDEX(Tracks!$E$2:$E$41,MATCH(A113,Tracks!$A$2:$A$41,0)),"?"))</f>
        <v/>
      </c>
      <c r="P113" s="9" t="str">
        <f aca="false">IF(A113="","",IFERROR(N(INDEX(Tracks!$F$2:$F$41,MATCH(A113,Tracks!$A$2:$A$41,0))),""))</f>
        <v/>
      </c>
      <c r="Q113" s="10" t="str">
        <f aca="false">IF(D113&lt;&gt;"",D113-1,IF(OR(A113="",C113="",N(P113)&lt;=0),"",(N(B113)*60+C113-IFERROR(N(INDEX(Tracks!$G$2:$G$41,MATCH(A113,Tracks!$A$2:$A$41,0))),0))*P113/240))</f>
        <v/>
      </c>
      <c r="R113" s="9" t="str">
        <f aca="false">IF(Q113="","",INT(Q113)+1)</f>
        <v/>
      </c>
      <c r="S113" s="10" t="str">
        <f aca="false">IF(OR(Q113="",D113&lt;&gt;""),"",MIN(4.75,ROUND((Q113-INT(Q113))*16,0)/4+1))</f>
        <v/>
      </c>
      <c r="T113" s="11" t="str">
        <f aca="false">IF(OR(E113="",N(P113)&lt;=0),"",E113*P113/240)</f>
        <v/>
      </c>
      <c r="U113" s="9" t="str">
        <f aca="false">IF(Q113="","",IF(MIN(MOD(Q113,32),32-MOD(Q113,32))&lt;=0.25,32,IF(MIN(MOD(Q113,16),16-MOD(Q113,16))&lt;=0.25,16,IF(MIN(MOD(Q113,8),8-MOD(Q113,8))&lt;=0.25,8,""))))</f>
        <v/>
      </c>
      <c r="V113" s="9" t="str">
        <f aca="false">IF(OR(Q113="",T113=""),"",IF(MIN(MOD((Q113+T113),32),32-MOD((Q113+T113),32))&lt;=0.25,32,IF(MIN(MOD((Q113+T113),16),16-MOD((Q113+T113),16))&lt;=0.25,16,IF(MIN(MOD((Q113+T113),8),8-MOD((Q113+T113),8))&lt;=0.25,8,""))))</f>
        <v/>
      </c>
    </row>
    <row r="114" customFormat="false" ht="1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9" t="str">
        <f aca="false">IF(A114="","",IFERROR(INDEX(Tracks!$E$2:$E$41,MATCH(A114,Tracks!$A$2:$A$41,0)),"?"))</f>
        <v/>
      </c>
      <c r="P114" s="9" t="str">
        <f aca="false">IF(A114="","",IFERROR(N(INDEX(Tracks!$F$2:$F$41,MATCH(A114,Tracks!$A$2:$A$41,0))),""))</f>
        <v/>
      </c>
      <c r="Q114" s="10" t="str">
        <f aca="false">IF(D114&lt;&gt;"",D114-1,IF(OR(A114="",C114="",N(P114)&lt;=0),"",(N(B114)*60+C114-IFERROR(N(INDEX(Tracks!$G$2:$G$41,MATCH(A114,Tracks!$A$2:$A$41,0))),0))*P114/240))</f>
        <v/>
      </c>
      <c r="R114" s="9" t="str">
        <f aca="false">IF(Q114="","",INT(Q114)+1)</f>
        <v/>
      </c>
      <c r="S114" s="10" t="str">
        <f aca="false">IF(OR(Q114="",D114&lt;&gt;""),"",MIN(4.75,ROUND((Q114-INT(Q114))*16,0)/4+1))</f>
        <v/>
      </c>
      <c r="T114" s="11" t="str">
        <f aca="false">IF(OR(E114="",N(P114)&lt;=0),"",E114*P114/240)</f>
        <v/>
      </c>
      <c r="U114" s="9" t="str">
        <f aca="false">IF(Q114="","",IF(MIN(MOD(Q114,32),32-MOD(Q114,32))&lt;=0.25,32,IF(MIN(MOD(Q114,16),16-MOD(Q114,16))&lt;=0.25,16,IF(MIN(MOD(Q114,8),8-MOD(Q114,8))&lt;=0.25,8,""))))</f>
        <v/>
      </c>
      <c r="V114" s="9" t="str">
        <f aca="false">IF(OR(Q114="",T114=""),"",IF(MIN(MOD((Q114+T114),32),32-MOD((Q114+T114),32))&lt;=0.25,32,IF(MIN(MOD((Q114+T114),16),16-MOD((Q114+T114),16))&lt;=0.25,16,IF(MIN(MOD((Q114+T114),8),8-MOD((Q114+T114),8))&lt;=0.25,8,""))))</f>
        <v/>
      </c>
    </row>
    <row r="115" customFormat="false" ht="1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9" t="str">
        <f aca="false">IF(A115="","",IFERROR(INDEX(Tracks!$E$2:$E$41,MATCH(A115,Tracks!$A$2:$A$41,0)),"?"))</f>
        <v/>
      </c>
      <c r="P115" s="9" t="str">
        <f aca="false">IF(A115="","",IFERROR(N(INDEX(Tracks!$F$2:$F$41,MATCH(A115,Tracks!$A$2:$A$41,0))),""))</f>
        <v/>
      </c>
      <c r="Q115" s="10" t="str">
        <f aca="false">IF(D115&lt;&gt;"",D115-1,IF(OR(A115="",C115="",N(P115)&lt;=0),"",(N(B115)*60+C115-IFERROR(N(INDEX(Tracks!$G$2:$G$41,MATCH(A115,Tracks!$A$2:$A$41,0))),0))*P115/240))</f>
        <v/>
      </c>
      <c r="R115" s="9" t="str">
        <f aca="false">IF(Q115="","",INT(Q115)+1)</f>
        <v/>
      </c>
      <c r="S115" s="10" t="str">
        <f aca="false">IF(OR(Q115="",D115&lt;&gt;""),"",MIN(4.75,ROUND((Q115-INT(Q115))*16,0)/4+1))</f>
        <v/>
      </c>
      <c r="T115" s="11" t="str">
        <f aca="false">IF(OR(E115="",N(P115)&lt;=0),"",E115*P115/240)</f>
        <v/>
      </c>
      <c r="U115" s="9" t="str">
        <f aca="false">IF(Q115="","",IF(MIN(MOD(Q115,32),32-MOD(Q115,32))&lt;=0.25,32,IF(MIN(MOD(Q115,16),16-MOD(Q115,16))&lt;=0.25,16,IF(MIN(MOD(Q115,8),8-MOD(Q115,8))&lt;=0.25,8,""))))</f>
        <v/>
      </c>
      <c r="V115" s="9" t="str">
        <f aca="false">IF(OR(Q115="",T115=""),"",IF(MIN(MOD((Q115+T115),32),32-MOD((Q115+T115),32))&lt;=0.25,32,IF(MIN(MOD((Q115+T115),16),16-MOD((Q115+T115),16))&lt;=0.25,16,IF(MIN(MOD((Q115+T115),8),8-MOD((Q115+T115),8))&lt;=0.25,8,""))))</f>
        <v/>
      </c>
    </row>
    <row r="116" customFormat="false" ht="1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9" t="str">
        <f aca="false">IF(A116="","",IFERROR(INDEX(Tracks!$E$2:$E$41,MATCH(A116,Tracks!$A$2:$A$41,0)),"?"))</f>
        <v/>
      </c>
      <c r="P116" s="9" t="str">
        <f aca="false">IF(A116="","",IFERROR(N(INDEX(Tracks!$F$2:$F$41,MATCH(A116,Tracks!$A$2:$A$41,0))),""))</f>
        <v/>
      </c>
      <c r="Q116" s="10" t="str">
        <f aca="false">IF(D116&lt;&gt;"",D116-1,IF(OR(A116="",C116="",N(P116)&lt;=0),"",(N(B116)*60+C116-IFERROR(N(INDEX(Tracks!$G$2:$G$41,MATCH(A116,Tracks!$A$2:$A$41,0))),0))*P116/240))</f>
        <v/>
      </c>
      <c r="R116" s="9" t="str">
        <f aca="false">IF(Q116="","",INT(Q116)+1)</f>
        <v/>
      </c>
      <c r="S116" s="10" t="str">
        <f aca="false">IF(OR(Q116="",D116&lt;&gt;""),"",MIN(4.75,ROUND((Q116-INT(Q116))*16,0)/4+1))</f>
        <v/>
      </c>
      <c r="T116" s="11" t="str">
        <f aca="false">IF(OR(E116="",N(P116)&lt;=0),"",E116*P116/240)</f>
        <v/>
      </c>
      <c r="U116" s="9" t="str">
        <f aca="false">IF(Q116="","",IF(MIN(MOD(Q116,32),32-MOD(Q116,32))&lt;=0.25,32,IF(MIN(MOD(Q116,16),16-MOD(Q116,16))&lt;=0.25,16,IF(MIN(MOD(Q116,8),8-MOD(Q116,8))&lt;=0.25,8,""))))</f>
        <v/>
      </c>
      <c r="V116" s="9" t="str">
        <f aca="false">IF(OR(Q116="",T116=""),"",IF(MIN(MOD((Q116+T116),32),32-MOD((Q116+T116),32))&lt;=0.25,32,IF(MIN(MOD((Q116+T116),16),16-MOD((Q116+T116),16))&lt;=0.25,16,IF(MIN(MOD((Q116+T116),8),8-MOD((Q116+T116),8))&lt;=0.25,8,""))))</f>
        <v/>
      </c>
    </row>
    <row r="117" customFormat="false" ht="1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9" t="str">
        <f aca="false">IF(A117="","",IFERROR(INDEX(Tracks!$E$2:$E$41,MATCH(A117,Tracks!$A$2:$A$41,0)),"?"))</f>
        <v/>
      </c>
      <c r="P117" s="9" t="str">
        <f aca="false">IF(A117="","",IFERROR(N(INDEX(Tracks!$F$2:$F$41,MATCH(A117,Tracks!$A$2:$A$41,0))),""))</f>
        <v/>
      </c>
      <c r="Q117" s="10" t="str">
        <f aca="false">IF(D117&lt;&gt;"",D117-1,IF(OR(A117="",C117="",N(P117)&lt;=0),"",(N(B117)*60+C117-IFERROR(N(INDEX(Tracks!$G$2:$G$41,MATCH(A117,Tracks!$A$2:$A$41,0))),0))*P117/240))</f>
        <v/>
      </c>
      <c r="R117" s="9" t="str">
        <f aca="false">IF(Q117="","",INT(Q117)+1)</f>
        <v/>
      </c>
      <c r="S117" s="10" t="str">
        <f aca="false">IF(OR(Q117="",D117&lt;&gt;""),"",MIN(4.75,ROUND((Q117-INT(Q117))*16,0)/4+1))</f>
        <v/>
      </c>
      <c r="T117" s="11" t="str">
        <f aca="false">IF(OR(E117="",N(P117)&lt;=0),"",E117*P117/240)</f>
        <v/>
      </c>
      <c r="U117" s="9" t="str">
        <f aca="false">IF(Q117="","",IF(MIN(MOD(Q117,32),32-MOD(Q117,32))&lt;=0.25,32,IF(MIN(MOD(Q117,16),16-MOD(Q117,16))&lt;=0.25,16,IF(MIN(MOD(Q117,8),8-MOD(Q117,8))&lt;=0.25,8,""))))</f>
        <v/>
      </c>
      <c r="V117" s="9" t="str">
        <f aca="false">IF(OR(Q117="",T117=""),"",IF(MIN(MOD((Q117+T117),32),32-MOD((Q117+T117),32))&lt;=0.25,32,IF(MIN(MOD((Q117+T117),16),16-MOD((Q117+T117),16))&lt;=0.25,16,IF(MIN(MOD((Q117+T117),8),8-MOD((Q117+T117),8))&lt;=0.25,8,""))))</f>
        <v/>
      </c>
    </row>
    <row r="118" customFormat="false" ht="1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9" t="str">
        <f aca="false">IF(A118="","",IFERROR(INDEX(Tracks!$E$2:$E$41,MATCH(A118,Tracks!$A$2:$A$41,0)),"?"))</f>
        <v/>
      </c>
      <c r="P118" s="9" t="str">
        <f aca="false">IF(A118="","",IFERROR(N(INDEX(Tracks!$F$2:$F$41,MATCH(A118,Tracks!$A$2:$A$41,0))),""))</f>
        <v/>
      </c>
      <c r="Q118" s="10" t="str">
        <f aca="false">IF(D118&lt;&gt;"",D118-1,IF(OR(A118="",C118="",N(P118)&lt;=0),"",(N(B118)*60+C118-IFERROR(N(INDEX(Tracks!$G$2:$G$41,MATCH(A118,Tracks!$A$2:$A$41,0))),0))*P118/240))</f>
        <v/>
      </c>
      <c r="R118" s="9" t="str">
        <f aca="false">IF(Q118="","",INT(Q118)+1)</f>
        <v/>
      </c>
      <c r="S118" s="10" t="str">
        <f aca="false">IF(OR(Q118="",D118&lt;&gt;""),"",MIN(4.75,ROUND((Q118-INT(Q118))*16,0)/4+1))</f>
        <v/>
      </c>
      <c r="T118" s="11" t="str">
        <f aca="false">IF(OR(E118="",N(P118)&lt;=0),"",E118*P118/240)</f>
        <v/>
      </c>
      <c r="U118" s="9" t="str">
        <f aca="false">IF(Q118="","",IF(MIN(MOD(Q118,32),32-MOD(Q118,32))&lt;=0.25,32,IF(MIN(MOD(Q118,16),16-MOD(Q118,16))&lt;=0.25,16,IF(MIN(MOD(Q118,8),8-MOD(Q118,8))&lt;=0.25,8,""))))</f>
        <v/>
      </c>
      <c r="V118" s="9" t="str">
        <f aca="false">IF(OR(Q118="",T118=""),"",IF(MIN(MOD((Q118+T118),32),32-MOD((Q118+T118),32))&lt;=0.25,32,IF(MIN(MOD((Q118+T118),16),16-MOD((Q118+T118),16))&lt;=0.25,16,IF(MIN(MOD((Q118+T118),8),8-MOD((Q118+T118),8))&lt;=0.25,8,""))))</f>
        <v/>
      </c>
    </row>
    <row r="119" customFormat="false" ht="1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9" t="str">
        <f aca="false">IF(A119="","",IFERROR(INDEX(Tracks!$E$2:$E$41,MATCH(A119,Tracks!$A$2:$A$41,0)),"?"))</f>
        <v/>
      </c>
      <c r="P119" s="9" t="str">
        <f aca="false">IF(A119="","",IFERROR(N(INDEX(Tracks!$F$2:$F$41,MATCH(A119,Tracks!$A$2:$A$41,0))),""))</f>
        <v/>
      </c>
      <c r="Q119" s="10" t="str">
        <f aca="false">IF(D119&lt;&gt;"",D119-1,IF(OR(A119="",C119="",N(P119)&lt;=0),"",(N(B119)*60+C119-IFERROR(N(INDEX(Tracks!$G$2:$G$41,MATCH(A119,Tracks!$A$2:$A$41,0))),0))*P119/240))</f>
        <v/>
      </c>
      <c r="R119" s="9" t="str">
        <f aca="false">IF(Q119="","",INT(Q119)+1)</f>
        <v/>
      </c>
      <c r="S119" s="10" t="str">
        <f aca="false">IF(OR(Q119="",D119&lt;&gt;""),"",MIN(4.75,ROUND((Q119-INT(Q119))*16,0)/4+1))</f>
        <v/>
      </c>
      <c r="T119" s="11" t="str">
        <f aca="false">IF(OR(E119="",N(P119)&lt;=0),"",E119*P119/240)</f>
        <v/>
      </c>
      <c r="U119" s="9" t="str">
        <f aca="false">IF(Q119="","",IF(MIN(MOD(Q119,32),32-MOD(Q119,32))&lt;=0.25,32,IF(MIN(MOD(Q119,16),16-MOD(Q119,16))&lt;=0.25,16,IF(MIN(MOD(Q119,8),8-MOD(Q119,8))&lt;=0.25,8,""))))</f>
        <v/>
      </c>
      <c r="V119" s="9" t="str">
        <f aca="false">IF(OR(Q119="",T119=""),"",IF(MIN(MOD((Q119+T119),32),32-MOD((Q119+T119),32))&lt;=0.25,32,IF(MIN(MOD((Q119+T119),16),16-MOD((Q119+T119),16))&lt;=0.25,16,IF(MIN(MOD((Q119+T119),8),8-MOD((Q119+T119),8))&lt;=0.25,8,""))))</f>
        <v/>
      </c>
    </row>
    <row r="120" customFormat="false" ht="1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9" t="str">
        <f aca="false">IF(A120="","",IFERROR(INDEX(Tracks!$E$2:$E$41,MATCH(A120,Tracks!$A$2:$A$41,0)),"?"))</f>
        <v/>
      </c>
      <c r="P120" s="9" t="str">
        <f aca="false">IF(A120="","",IFERROR(N(INDEX(Tracks!$F$2:$F$41,MATCH(A120,Tracks!$A$2:$A$41,0))),""))</f>
        <v/>
      </c>
      <c r="Q120" s="10" t="str">
        <f aca="false">IF(D120&lt;&gt;"",D120-1,IF(OR(A120="",C120="",N(P120)&lt;=0),"",(N(B120)*60+C120-IFERROR(N(INDEX(Tracks!$G$2:$G$41,MATCH(A120,Tracks!$A$2:$A$41,0))),0))*P120/240))</f>
        <v/>
      </c>
      <c r="R120" s="9" t="str">
        <f aca="false">IF(Q120="","",INT(Q120)+1)</f>
        <v/>
      </c>
      <c r="S120" s="10" t="str">
        <f aca="false">IF(OR(Q120="",D120&lt;&gt;""),"",MIN(4.75,ROUND((Q120-INT(Q120))*16,0)/4+1))</f>
        <v/>
      </c>
      <c r="T120" s="11" t="str">
        <f aca="false">IF(OR(E120="",N(P120)&lt;=0),"",E120*P120/240)</f>
        <v/>
      </c>
      <c r="U120" s="9" t="str">
        <f aca="false">IF(Q120="","",IF(MIN(MOD(Q120,32),32-MOD(Q120,32))&lt;=0.25,32,IF(MIN(MOD(Q120,16),16-MOD(Q120,16))&lt;=0.25,16,IF(MIN(MOD(Q120,8),8-MOD(Q120,8))&lt;=0.25,8,""))))</f>
        <v/>
      </c>
      <c r="V120" s="9" t="str">
        <f aca="false">IF(OR(Q120="",T120=""),"",IF(MIN(MOD((Q120+T120),32),32-MOD((Q120+T120),32))&lt;=0.25,32,IF(MIN(MOD((Q120+T120),16),16-MOD((Q120+T120),16))&lt;=0.25,16,IF(MIN(MOD((Q120+T120),8),8-MOD((Q120+T120),8))&lt;=0.25,8,""))))</f>
        <v/>
      </c>
    </row>
    <row r="121" customFormat="false" ht="1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9" t="str">
        <f aca="false">IF(A121="","",IFERROR(INDEX(Tracks!$E$2:$E$41,MATCH(A121,Tracks!$A$2:$A$41,0)),"?"))</f>
        <v/>
      </c>
      <c r="P121" s="9" t="str">
        <f aca="false">IF(A121="","",IFERROR(N(INDEX(Tracks!$F$2:$F$41,MATCH(A121,Tracks!$A$2:$A$41,0))),""))</f>
        <v/>
      </c>
      <c r="Q121" s="10" t="str">
        <f aca="false">IF(D121&lt;&gt;"",D121-1,IF(OR(A121="",C121="",N(P121)&lt;=0),"",(N(B121)*60+C121-IFERROR(N(INDEX(Tracks!$G$2:$G$41,MATCH(A121,Tracks!$A$2:$A$41,0))),0))*P121/240))</f>
        <v/>
      </c>
      <c r="R121" s="9" t="str">
        <f aca="false">IF(Q121="","",INT(Q121)+1)</f>
        <v/>
      </c>
      <c r="S121" s="10" t="str">
        <f aca="false">IF(OR(Q121="",D121&lt;&gt;""),"",MIN(4.75,ROUND((Q121-INT(Q121))*16,0)/4+1))</f>
        <v/>
      </c>
      <c r="T121" s="11" t="str">
        <f aca="false">IF(OR(E121="",N(P121)&lt;=0),"",E121*P121/240)</f>
        <v/>
      </c>
      <c r="U121" s="9" t="str">
        <f aca="false">IF(Q121="","",IF(MIN(MOD(Q121,32),32-MOD(Q121,32))&lt;=0.25,32,IF(MIN(MOD(Q121,16),16-MOD(Q121,16))&lt;=0.25,16,IF(MIN(MOD(Q121,8),8-MOD(Q121,8))&lt;=0.25,8,""))))</f>
        <v/>
      </c>
      <c r="V121" s="9" t="str">
        <f aca="false">IF(OR(Q121="",T121=""),"",IF(MIN(MOD((Q121+T121),32),32-MOD((Q121+T121),32))&lt;=0.25,32,IF(MIN(MOD((Q121+T121),16),16-MOD((Q121+T121),16))&lt;=0.25,16,IF(MIN(MOD((Q121+T121),8),8-MOD((Q121+T121),8))&lt;=0.25,8,""))))</f>
        <v/>
      </c>
    </row>
    <row r="122" customFormat="false" ht="1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9" t="str">
        <f aca="false">IF(A122="","",IFERROR(INDEX(Tracks!$E$2:$E$41,MATCH(A122,Tracks!$A$2:$A$41,0)),"?"))</f>
        <v/>
      </c>
      <c r="P122" s="9" t="str">
        <f aca="false">IF(A122="","",IFERROR(N(INDEX(Tracks!$F$2:$F$41,MATCH(A122,Tracks!$A$2:$A$41,0))),""))</f>
        <v/>
      </c>
      <c r="Q122" s="10" t="str">
        <f aca="false">IF(D122&lt;&gt;"",D122-1,IF(OR(A122="",C122="",N(P122)&lt;=0),"",(N(B122)*60+C122-IFERROR(N(INDEX(Tracks!$G$2:$G$41,MATCH(A122,Tracks!$A$2:$A$41,0))),0))*P122/240))</f>
        <v/>
      </c>
      <c r="R122" s="9" t="str">
        <f aca="false">IF(Q122="","",INT(Q122)+1)</f>
        <v/>
      </c>
      <c r="S122" s="10" t="str">
        <f aca="false">IF(OR(Q122="",D122&lt;&gt;""),"",MIN(4.75,ROUND((Q122-INT(Q122))*16,0)/4+1))</f>
        <v/>
      </c>
      <c r="T122" s="11" t="str">
        <f aca="false">IF(OR(E122="",N(P122)&lt;=0),"",E122*P122/240)</f>
        <v/>
      </c>
      <c r="U122" s="9" t="str">
        <f aca="false">IF(Q122="","",IF(MIN(MOD(Q122,32),32-MOD(Q122,32))&lt;=0.25,32,IF(MIN(MOD(Q122,16),16-MOD(Q122,16))&lt;=0.25,16,IF(MIN(MOD(Q122,8),8-MOD(Q122,8))&lt;=0.25,8,""))))</f>
        <v/>
      </c>
      <c r="V122" s="9" t="str">
        <f aca="false">IF(OR(Q122="",T122=""),"",IF(MIN(MOD((Q122+T122),32),32-MOD((Q122+T122),32))&lt;=0.25,32,IF(MIN(MOD((Q122+T122),16),16-MOD((Q122+T122),16))&lt;=0.25,16,IF(MIN(MOD((Q122+T122),8),8-MOD((Q122+T122),8))&lt;=0.25,8,""))))</f>
        <v/>
      </c>
    </row>
    <row r="123" customFormat="false" ht="1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9" t="str">
        <f aca="false">IF(A123="","",IFERROR(INDEX(Tracks!$E$2:$E$41,MATCH(A123,Tracks!$A$2:$A$41,0)),"?"))</f>
        <v/>
      </c>
      <c r="P123" s="9" t="str">
        <f aca="false">IF(A123="","",IFERROR(N(INDEX(Tracks!$F$2:$F$41,MATCH(A123,Tracks!$A$2:$A$41,0))),""))</f>
        <v/>
      </c>
      <c r="Q123" s="10" t="str">
        <f aca="false">IF(D123&lt;&gt;"",D123-1,IF(OR(A123="",C123="",N(P123)&lt;=0),"",(N(B123)*60+C123-IFERROR(N(INDEX(Tracks!$G$2:$G$41,MATCH(A123,Tracks!$A$2:$A$41,0))),0))*P123/240))</f>
        <v/>
      </c>
      <c r="R123" s="9" t="str">
        <f aca="false">IF(Q123="","",INT(Q123)+1)</f>
        <v/>
      </c>
      <c r="S123" s="10" t="str">
        <f aca="false">IF(OR(Q123="",D123&lt;&gt;""),"",MIN(4.75,ROUND((Q123-INT(Q123))*16,0)/4+1))</f>
        <v/>
      </c>
      <c r="T123" s="11" t="str">
        <f aca="false">IF(OR(E123="",N(P123)&lt;=0),"",E123*P123/240)</f>
        <v/>
      </c>
      <c r="U123" s="9" t="str">
        <f aca="false">IF(Q123="","",IF(MIN(MOD(Q123,32),32-MOD(Q123,32))&lt;=0.25,32,IF(MIN(MOD(Q123,16),16-MOD(Q123,16))&lt;=0.25,16,IF(MIN(MOD(Q123,8),8-MOD(Q123,8))&lt;=0.25,8,""))))</f>
        <v/>
      </c>
      <c r="V123" s="9" t="str">
        <f aca="false">IF(OR(Q123="",T123=""),"",IF(MIN(MOD((Q123+T123),32),32-MOD((Q123+T123),32))&lt;=0.25,32,IF(MIN(MOD((Q123+T123),16),16-MOD((Q123+T123),16))&lt;=0.25,16,IF(MIN(MOD((Q123+T123),8),8-MOD((Q123+T123),8))&lt;=0.25,8,""))))</f>
        <v/>
      </c>
    </row>
    <row r="124" customFormat="false" ht="1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9" t="str">
        <f aca="false">IF(A124="","",IFERROR(INDEX(Tracks!$E$2:$E$41,MATCH(A124,Tracks!$A$2:$A$41,0)),"?"))</f>
        <v/>
      </c>
      <c r="P124" s="9" t="str">
        <f aca="false">IF(A124="","",IFERROR(N(INDEX(Tracks!$F$2:$F$41,MATCH(A124,Tracks!$A$2:$A$41,0))),""))</f>
        <v/>
      </c>
      <c r="Q124" s="10" t="str">
        <f aca="false">IF(D124&lt;&gt;"",D124-1,IF(OR(A124="",C124="",N(P124)&lt;=0),"",(N(B124)*60+C124-IFERROR(N(INDEX(Tracks!$G$2:$G$41,MATCH(A124,Tracks!$A$2:$A$41,0))),0))*P124/240))</f>
        <v/>
      </c>
      <c r="R124" s="9" t="str">
        <f aca="false">IF(Q124="","",INT(Q124)+1)</f>
        <v/>
      </c>
      <c r="S124" s="10" t="str">
        <f aca="false">IF(OR(Q124="",D124&lt;&gt;""),"",MIN(4.75,ROUND((Q124-INT(Q124))*16,0)/4+1))</f>
        <v/>
      </c>
      <c r="T124" s="11" t="str">
        <f aca="false">IF(OR(E124="",N(P124)&lt;=0),"",E124*P124/240)</f>
        <v/>
      </c>
      <c r="U124" s="9" t="str">
        <f aca="false">IF(Q124="","",IF(MIN(MOD(Q124,32),32-MOD(Q124,32))&lt;=0.25,32,IF(MIN(MOD(Q124,16),16-MOD(Q124,16))&lt;=0.25,16,IF(MIN(MOD(Q124,8),8-MOD(Q124,8))&lt;=0.25,8,""))))</f>
        <v/>
      </c>
      <c r="V124" s="9" t="str">
        <f aca="false">IF(OR(Q124="",T124=""),"",IF(MIN(MOD((Q124+T124),32),32-MOD((Q124+T124),32))&lt;=0.25,32,IF(MIN(MOD((Q124+T124),16),16-MOD((Q124+T124),16))&lt;=0.25,16,IF(MIN(MOD((Q124+T124),8),8-MOD((Q124+T124),8))&lt;=0.25,8,""))))</f>
        <v/>
      </c>
    </row>
    <row r="125" customFormat="false" ht="1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9" t="str">
        <f aca="false">IF(A125="","",IFERROR(INDEX(Tracks!$E$2:$E$41,MATCH(A125,Tracks!$A$2:$A$41,0)),"?"))</f>
        <v/>
      </c>
      <c r="P125" s="9" t="str">
        <f aca="false">IF(A125="","",IFERROR(N(INDEX(Tracks!$F$2:$F$41,MATCH(A125,Tracks!$A$2:$A$41,0))),""))</f>
        <v/>
      </c>
      <c r="Q125" s="10" t="str">
        <f aca="false">IF(D125&lt;&gt;"",D125-1,IF(OR(A125="",C125="",N(P125)&lt;=0),"",(N(B125)*60+C125-IFERROR(N(INDEX(Tracks!$G$2:$G$41,MATCH(A125,Tracks!$A$2:$A$41,0))),0))*P125/240))</f>
        <v/>
      </c>
      <c r="R125" s="9" t="str">
        <f aca="false">IF(Q125="","",INT(Q125)+1)</f>
        <v/>
      </c>
      <c r="S125" s="10" t="str">
        <f aca="false">IF(OR(Q125="",D125&lt;&gt;""),"",MIN(4.75,ROUND((Q125-INT(Q125))*16,0)/4+1))</f>
        <v/>
      </c>
      <c r="T125" s="11" t="str">
        <f aca="false">IF(OR(E125="",N(P125)&lt;=0),"",E125*P125/240)</f>
        <v/>
      </c>
      <c r="U125" s="9" t="str">
        <f aca="false">IF(Q125="","",IF(MIN(MOD(Q125,32),32-MOD(Q125,32))&lt;=0.25,32,IF(MIN(MOD(Q125,16),16-MOD(Q125,16))&lt;=0.25,16,IF(MIN(MOD(Q125,8),8-MOD(Q125,8))&lt;=0.25,8,""))))</f>
        <v/>
      </c>
      <c r="V125" s="9" t="str">
        <f aca="false">IF(OR(Q125="",T125=""),"",IF(MIN(MOD((Q125+T125),32),32-MOD((Q125+T125),32))&lt;=0.25,32,IF(MIN(MOD((Q125+T125),16),16-MOD((Q125+T125),16))&lt;=0.25,16,IF(MIN(MOD((Q125+T125),8),8-MOD((Q125+T125),8))&lt;=0.25,8,""))))</f>
        <v/>
      </c>
    </row>
    <row r="126" customFormat="false" ht="1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9" t="str">
        <f aca="false">IF(A126="","",IFERROR(INDEX(Tracks!$E$2:$E$41,MATCH(A126,Tracks!$A$2:$A$41,0)),"?"))</f>
        <v/>
      </c>
      <c r="P126" s="9" t="str">
        <f aca="false">IF(A126="","",IFERROR(N(INDEX(Tracks!$F$2:$F$41,MATCH(A126,Tracks!$A$2:$A$41,0))),""))</f>
        <v/>
      </c>
      <c r="Q126" s="10" t="str">
        <f aca="false">IF(D126&lt;&gt;"",D126-1,IF(OR(A126="",C126="",N(P126)&lt;=0),"",(N(B126)*60+C126-IFERROR(N(INDEX(Tracks!$G$2:$G$41,MATCH(A126,Tracks!$A$2:$A$41,0))),0))*P126/240))</f>
        <v/>
      </c>
      <c r="R126" s="9" t="str">
        <f aca="false">IF(Q126="","",INT(Q126)+1)</f>
        <v/>
      </c>
      <c r="S126" s="10" t="str">
        <f aca="false">IF(OR(Q126="",D126&lt;&gt;""),"",MIN(4.75,ROUND((Q126-INT(Q126))*16,0)/4+1))</f>
        <v/>
      </c>
      <c r="T126" s="11" t="str">
        <f aca="false">IF(OR(E126="",N(P126)&lt;=0),"",E126*P126/240)</f>
        <v/>
      </c>
      <c r="U126" s="9" t="str">
        <f aca="false">IF(Q126="","",IF(MIN(MOD(Q126,32),32-MOD(Q126,32))&lt;=0.25,32,IF(MIN(MOD(Q126,16),16-MOD(Q126,16))&lt;=0.25,16,IF(MIN(MOD(Q126,8),8-MOD(Q126,8))&lt;=0.25,8,""))))</f>
        <v/>
      </c>
      <c r="V126" s="9" t="str">
        <f aca="false">IF(OR(Q126="",T126=""),"",IF(MIN(MOD((Q126+T126),32),32-MOD((Q126+T126),32))&lt;=0.25,32,IF(MIN(MOD((Q126+T126),16),16-MOD((Q126+T126),16))&lt;=0.25,16,IF(MIN(MOD((Q126+T126),8),8-MOD((Q126+T126),8))&lt;=0.25,8,""))))</f>
        <v/>
      </c>
    </row>
    <row r="127" customFormat="false" ht="1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9" t="str">
        <f aca="false">IF(A127="","",IFERROR(INDEX(Tracks!$E$2:$E$41,MATCH(A127,Tracks!$A$2:$A$41,0)),"?"))</f>
        <v/>
      </c>
      <c r="P127" s="9" t="str">
        <f aca="false">IF(A127="","",IFERROR(N(INDEX(Tracks!$F$2:$F$41,MATCH(A127,Tracks!$A$2:$A$41,0))),""))</f>
        <v/>
      </c>
      <c r="Q127" s="10" t="str">
        <f aca="false">IF(D127&lt;&gt;"",D127-1,IF(OR(A127="",C127="",N(P127)&lt;=0),"",(N(B127)*60+C127-IFERROR(N(INDEX(Tracks!$G$2:$G$41,MATCH(A127,Tracks!$A$2:$A$41,0))),0))*P127/240))</f>
        <v/>
      </c>
      <c r="R127" s="9" t="str">
        <f aca="false">IF(Q127="","",INT(Q127)+1)</f>
        <v/>
      </c>
      <c r="S127" s="10" t="str">
        <f aca="false">IF(OR(Q127="",D127&lt;&gt;""),"",MIN(4.75,ROUND((Q127-INT(Q127))*16,0)/4+1))</f>
        <v/>
      </c>
      <c r="T127" s="11" t="str">
        <f aca="false">IF(OR(E127="",N(P127)&lt;=0),"",E127*P127/240)</f>
        <v/>
      </c>
      <c r="U127" s="9" t="str">
        <f aca="false">IF(Q127="","",IF(MIN(MOD(Q127,32),32-MOD(Q127,32))&lt;=0.25,32,IF(MIN(MOD(Q127,16),16-MOD(Q127,16))&lt;=0.25,16,IF(MIN(MOD(Q127,8),8-MOD(Q127,8))&lt;=0.25,8,""))))</f>
        <v/>
      </c>
      <c r="V127" s="9" t="str">
        <f aca="false">IF(OR(Q127="",T127=""),"",IF(MIN(MOD((Q127+T127),32),32-MOD((Q127+T127),32))&lt;=0.25,32,IF(MIN(MOD((Q127+T127),16),16-MOD((Q127+T127),16))&lt;=0.25,16,IF(MIN(MOD((Q127+T127),8),8-MOD((Q127+T127),8))&lt;=0.25,8,""))))</f>
        <v/>
      </c>
    </row>
    <row r="128" customFormat="false" ht="1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9" t="str">
        <f aca="false">IF(A128="","",IFERROR(INDEX(Tracks!$E$2:$E$41,MATCH(A128,Tracks!$A$2:$A$41,0)),"?"))</f>
        <v/>
      </c>
      <c r="P128" s="9" t="str">
        <f aca="false">IF(A128="","",IFERROR(N(INDEX(Tracks!$F$2:$F$41,MATCH(A128,Tracks!$A$2:$A$41,0))),""))</f>
        <v/>
      </c>
      <c r="Q128" s="10" t="str">
        <f aca="false">IF(D128&lt;&gt;"",D128-1,IF(OR(A128="",C128="",N(P128)&lt;=0),"",(N(B128)*60+C128-IFERROR(N(INDEX(Tracks!$G$2:$G$41,MATCH(A128,Tracks!$A$2:$A$41,0))),0))*P128/240))</f>
        <v/>
      </c>
      <c r="R128" s="9" t="str">
        <f aca="false">IF(Q128="","",INT(Q128)+1)</f>
        <v/>
      </c>
      <c r="S128" s="10" t="str">
        <f aca="false">IF(OR(Q128="",D128&lt;&gt;""),"",MIN(4.75,ROUND((Q128-INT(Q128))*16,0)/4+1))</f>
        <v/>
      </c>
      <c r="T128" s="11" t="str">
        <f aca="false">IF(OR(E128="",N(P128)&lt;=0),"",E128*P128/240)</f>
        <v/>
      </c>
      <c r="U128" s="9" t="str">
        <f aca="false">IF(Q128="","",IF(MIN(MOD(Q128,32),32-MOD(Q128,32))&lt;=0.25,32,IF(MIN(MOD(Q128,16),16-MOD(Q128,16))&lt;=0.25,16,IF(MIN(MOD(Q128,8),8-MOD(Q128,8))&lt;=0.25,8,""))))</f>
        <v/>
      </c>
      <c r="V128" s="9" t="str">
        <f aca="false">IF(OR(Q128="",T128=""),"",IF(MIN(MOD((Q128+T128),32),32-MOD((Q128+T128),32))&lt;=0.25,32,IF(MIN(MOD((Q128+T128),16),16-MOD((Q128+T128),16))&lt;=0.25,16,IF(MIN(MOD((Q128+T128),8),8-MOD((Q128+T128),8))&lt;=0.25,8,""))))</f>
        <v/>
      </c>
    </row>
    <row r="129" customFormat="false" ht="1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9" t="str">
        <f aca="false">IF(A129="","",IFERROR(INDEX(Tracks!$E$2:$E$41,MATCH(A129,Tracks!$A$2:$A$41,0)),"?"))</f>
        <v/>
      </c>
      <c r="P129" s="9" t="str">
        <f aca="false">IF(A129="","",IFERROR(N(INDEX(Tracks!$F$2:$F$41,MATCH(A129,Tracks!$A$2:$A$41,0))),""))</f>
        <v/>
      </c>
      <c r="Q129" s="10" t="str">
        <f aca="false">IF(D129&lt;&gt;"",D129-1,IF(OR(A129="",C129="",N(P129)&lt;=0),"",(N(B129)*60+C129-IFERROR(N(INDEX(Tracks!$G$2:$G$41,MATCH(A129,Tracks!$A$2:$A$41,0))),0))*P129/240))</f>
        <v/>
      </c>
      <c r="R129" s="9" t="str">
        <f aca="false">IF(Q129="","",INT(Q129)+1)</f>
        <v/>
      </c>
      <c r="S129" s="10" t="str">
        <f aca="false">IF(OR(Q129="",D129&lt;&gt;""),"",MIN(4.75,ROUND((Q129-INT(Q129))*16,0)/4+1))</f>
        <v/>
      </c>
      <c r="T129" s="11" t="str">
        <f aca="false">IF(OR(E129="",N(P129)&lt;=0),"",E129*P129/240)</f>
        <v/>
      </c>
      <c r="U129" s="9" t="str">
        <f aca="false">IF(Q129="","",IF(MIN(MOD(Q129,32),32-MOD(Q129,32))&lt;=0.25,32,IF(MIN(MOD(Q129,16),16-MOD(Q129,16))&lt;=0.25,16,IF(MIN(MOD(Q129,8),8-MOD(Q129,8))&lt;=0.25,8,""))))</f>
        <v/>
      </c>
      <c r="V129" s="9" t="str">
        <f aca="false">IF(OR(Q129="",T129=""),"",IF(MIN(MOD((Q129+T129),32),32-MOD((Q129+T129),32))&lt;=0.25,32,IF(MIN(MOD((Q129+T129),16),16-MOD((Q129+T129),16))&lt;=0.25,16,IF(MIN(MOD((Q129+T129),8),8-MOD((Q129+T129),8))&lt;=0.25,8,""))))</f>
        <v/>
      </c>
    </row>
    <row r="130" customFormat="false" ht="1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9" t="str">
        <f aca="false">IF(A130="","",IFERROR(INDEX(Tracks!$E$2:$E$41,MATCH(A130,Tracks!$A$2:$A$41,0)),"?"))</f>
        <v/>
      </c>
      <c r="P130" s="9" t="str">
        <f aca="false">IF(A130="","",IFERROR(N(INDEX(Tracks!$F$2:$F$41,MATCH(A130,Tracks!$A$2:$A$41,0))),""))</f>
        <v/>
      </c>
      <c r="Q130" s="10" t="str">
        <f aca="false">IF(D130&lt;&gt;"",D130-1,IF(OR(A130="",C130="",N(P130)&lt;=0),"",(N(B130)*60+C130-IFERROR(N(INDEX(Tracks!$G$2:$G$41,MATCH(A130,Tracks!$A$2:$A$41,0))),0))*P130/240))</f>
        <v/>
      </c>
      <c r="R130" s="9" t="str">
        <f aca="false">IF(Q130="","",INT(Q130)+1)</f>
        <v/>
      </c>
      <c r="S130" s="10" t="str">
        <f aca="false">IF(OR(Q130="",D130&lt;&gt;""),"",MIN(4.75,ROUND((Q130-INT(Q130))*16,0)/4+1))</f>
        <v/>
      </c>
      <c r="T130" s="11" t="str">
        <f aca="false">IF(OR(E130="",N(P130)&lt;=0),"",E130*P130/240)</f>
        <v/>
      </c>
      <c r="U130" s="9" t="str">
        <f aca="false">IF(Q130="","",IF(MIN(MOD(Q130,32),32-MOD(Q130,32))&lt;=0.25,32,IF(MIN(MOD(Q130,16),16-MOD(Q130,16))&lt;=0.25,16,IF(MIN(MOD(Q130,8),8-MOD(Q130,8))&lt;=0.25,8,""))))</f>
        <v/>
      </c>
      <c r="V130" s="9" t="str">
        <f aca="false">IF(OR(Q130="",T130=""),"",IF(MIN(MOD((Q130+T130),32),32-MOD((Q130+T130),32))&lt;=0.25,32,IF(MIN(MOD((Q130+T130),16),16-MOD((Q130+T130),16))&lt;=0.25,16,IF(MIN(MOD((Q130+T130),8),8-MOD((Q130+T130),8))&lt;=0.25,8,""))))</f>
        <v/>
      </c>
    </row>
    <row r="131" customFormat="false" ht="1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9" t="str">
        <f aca="false">IF(A131="","",IFERROR(INDEX(Tracks!$E$2:$E$41,MATCH(A131,Tracks!$A$2:$A$41,0)),"?"))</f>
        <v/>
      </c>
      <c r="P131" s="9" t="str">
        <f aca="false">IF(A131="","",IFERROR(N(INDEX(Tracks!$F$2:$F$41,MATCH(A131,Tracks!$A$2:$A$41,0))),""))</f>
        <v/>
      </c>
      <c r="Q131" s="10" t="str">
        <f aca="false">IF(D131&lt;&gt;"",D131-1,IF(OR(A131="",C131="",N(P131)&lt;=0),"",(N(B131)*60+C131-IFERROR(N(INDEX(Tracks!$G$2:$G$41,MATCH(A131,Tracks!$A$2:$A$41,0))),0))*P131/240))</f>
        <v/>
      </c>
      <c r="R131" s="9" t="str">
        <f aca="false">IF(Q131="","",INT(Q131)+1)</f>
        <v/>
      </c>
      <c r="S131" s="10" t="str">
        <f aca="false">IF(OR(Q131="",D131&lt;&gt;""),"",MIN(4.75,ROUND((Q131-INT(Q131))*16,0)/4+1))</f>
        <v/>
      </c>
      <c r="T131" s="11" t="str">
        <f aca="false">IF(OR(E131="",N(P131)&lt;=0),"",E131*P131/240)</f>
        <v/>
      </c>
      <c r="U131" s="9" t="str">
        <f aca="false">IF(Q131="","",IF(MIN(MOD(Q131,32),32-MOD(Q131,32))&lt;=0.25,32,IF(MIN(MOD(Q131,16),16-MOD(Q131,16))&lt;=0.25,16,IF(MIN(MOD(Q131,8),8-MOD(Q131,8))&lt;=0.25,8,""))))</f>
        <v/>
      </c>
      <c r="V131" s="9" t="str">
        <f aca="false">IF(OR(Q131="",T131=""),"",IF(MIN(MOD((Q131+T131),32),32-MOD((Q131+T131),32))&lt;=0.25,32,IF(MIN(MOD((Q131+T131),16),16-MOD((Q131+T131),16))&lt;=0.25,16,IF(MIN(MOD((Q131+T131),8),8-MOD((Q131+T131),8))&lt;=0.25,8,""))))</f>
        <v/>
      </c>
    </row>
    <row r="132" customFormat="false" ht="1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9" t="str">
        <f aca="false">IF(A132="","",IFERROR(INDEX(Tracks!$E$2:$E$41,MATCH(A132,Tracks!$A$2:$A$41,0)),"?"))</f>
        <v/>
      </c>
      <c r="P132" s="9" t="str">
        <f aca="false">IF(A132="","",IFERROR(N(INDEX(Tracks!$F$2:$F$41,MATCH(A132,Tracks!$A$2:$A$41,0))),""))</f>
        <v/>
      </c>
      <c r="Q132" s="10" t="str">
        <f aca="false">IF(D132&lt;&gt;"",D132-1,IF(OR(A132="",C132="",N(P132)&lt;=0),"",(N(B132)*60+C132-IFERROR(N(INDEX(Tracks!$G$2:$G$41,MATCH(A132,Tracks!$A$2:$A$41,0))),0))*P132/240))</f>
        <v/>
      </c>
      <c r="R132" s="9" t="str">
        <f aca="false">IF(Q132="","",INT(Q132)+1)</f>
        <v/>
      </c>
      <c r="S132" s="10" t="str">
        <f aca="false">IF(OR(Q132="",D132&lt;&gt;""),"",MIN(4.75,ROUND((Q132-INT(Q132))*16,0)/4+1))</f>
        <v/>
      </c>
      <c r="T132" s="11" t="str">
        <f aca="false">IF(OR(E132="",N(P132)&lt;=0),"",E132*P132/240)</f>
        <v/>
      </c>
      <c r="U132" s="9" t="str">
        <f aca="false">IF(Q132="","",IF(MIN(MOD(Q132,32),32-MOD(Q132,32))&lt;=0.25,32,IF(MIN(MOD(Q132,16),16-MOD(Q132,16))&lt;=0.25,16,IF(MIN(MOD(Q132,8),8-MOD(Q132,8))&lt;=0.25,8,""))))</f>
        <v/>
      </c>
      <c r="V132" s="9" t="str">
        <f aca="false">IF(OR(Q132="",T132=""),"",IF(MIN(MOD((Q132+T132),32),32-MOD((Q132+T132),32))&lt;=0.25,32,IF(MIN(MOD((Q132+T132),16),16-MOD((Q132+T132),16))&lt;=0.25,16,IF(MIN(MOD((Q132+T132),8),8-MOD((Q132+T132),8))&lt;=0.25,8,""))))</f>
        <v/>
      </c>
    </row>
    <row r="133" customFormat="false" ht="1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9" t="str">
        <f aca="false">IF(A133="","",IFERROR(INDEX(Tracks!$E$2:$E$41,MATCH(A133,Tracks!$A$2:$A$41,0)),"?"))</f>
        <v/>
      </c>
      <c r="P133" s="9" t="str">
        <f aca="false">IF(A133="","",IFERROR(N(INDEX(Tracks!$F$2:$F$41,MATCH(A133,Tracks!$A$2:$A$41,0))),""))</f>
        <v/>
      </c>
      <c r="Q133" s="10" t="str">
        <f aca="false">IF(D133&lt;&gt;"",D133-1,IF(OR(A133="",C133="",N(P133)&lt;=0),"",(N(B133)*60+C133-IFERROR(N(INDEX(Tracks!$G$2:$G$41,MATCH(A133,Tracks!$A$2:$A$41,0))),0))*P133/240))</f>
        <v/>
      </c>
      <c r="R133" s="9" t="str">
        <f aca="false">IF(Q133="","",INT(Q133)+1)</f>
        <v/>
      </c>
      <c r="S133" s="10" t="str">
        <f aca="false">IF(OR(Q133="",D133&lt;&gt;""),"",MIN(4.75,ROUND((Q133-INT(Q133))*16,0)/4+1))</f>
        <v/>
      </c>
      <c r="T133" s="11" t="str">
        <f aca="false">IF(OR(E133="",N(P133)&lt;=0),"",E133*P133/240)</f>
        <v/>
      </c>
      <c r="U133" s="9" t="str">
        <f aca="false">IF(Q133="","",IF(MIN(MOD(Q133,32),32-MOD(Q133,32))&lt;=0.25,32,IF(MIN(MOD(Q133,16),16-MOD(Q133,16))&lt;=0.25,16,IF(MIN(MOD(Q133,8),8-MOD(Q133,8))&lt;=0.25,8,""))))</f>
        <v/>
      </c>
      <c r="V133" s="9" t="str">
        <f aca="false">IF(OR(Q133="",T133=""),"",IF(MIN(MOD((Q133+T133),32),32-MOD((Q133+T133),32))&lt;=0.25,32,IF(MIN(MOD((Q133+T133),16),16-MOD((Q133+T133),16))&lt;=0.25,16,IF(MIN(MOD((Q133+T133),8),8-MOD((Q133+T133),8))&lt;=0.25,8,""))))</f>
        <v/>
      </c>
    </row>
    <row r="134" customFormat="false" ht="1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9" t="str">
        <f aca="false">IF(A134="","",IFERROR(INDEX(Tracks!$E$2:$E$41,MATCH(A134,Tracks!$A$2:$A$41,0)),"?"))</f>
        <v/>
      </c>
      <c r="P134" s="9" t="str">
        <f aca="false">IF(A134="","",IFERROR(N(INDEX(Tracks!$F$2:$F$41,MATCH(A134,Tracks!$A$2:$A$41,0))),""))</f>
        <v/>
      </c>
      <c r="Q134" s="10" t="str">
        <f aca="false">IF(D134&lt;&gt;"",D134-1,IF(OR(A134="",C134="",N(P134)&lt;=0),"",(N(B134)*60+C134-IFERROR(N(INDEX(Tracks!$G$2:$G$41,MATCH(A134,Tracks!$A$2:$A$41,0))),0))*P134/240))</f>
        <v/>
      </c>
      <c r="R134" s="9" t="str">
        <f aca="false">IF(Q134="","",INT(Q134)+1)</f>
        <v/>
      </c>
      <c r="S134" s="10" t="str">
        <f aca="false">IF(OR(Q134="",D134&lt;&gt;""),"",MIN(4.75,ROUND((Q134-INT(Q134))*16,0)/4+1))</f>
        <v/>
      </c>
      <c r="T134" s="11" t="str">
        <f aca="false">IF(OR(E134="",N(P134)&lt;=0),"",E134*P134/240)</f>
        <v/>
      </c>
      <c r="U134" s="9" t="str">
        <f aca="false">IF(Q134="","",IF(MIN(MOD(Q134,32),32-MOD(Q134,32))&lt;=0.25,32,IF(MIN(MOD(Q134,16),16-MOD(Q134,16))&lt;=0.25,16,IF(MIN(MOD(Q134,8),8-MOD(Q134,8))&lt;=0.25,8,""))))</f>
        <v/>
      </c>
      <c r="V134" s="9" t="str">
        <f aca="false">IF(OR(Q134="",T134=""),"",IF(MIN(MOD((Q134+T134),32),32-MOD((Q134+T134),32))&lt;=0.25,32,IF(MIN(MOD((Q134+T134),16),16-MOD((Q134+T134),16))&lt;=0.25,16,IF(MIN(MOD((Q134+T134),8),8-MOD((Q134+T134),8))&lt;=0.25,8,""))))</f>
        <v/>
      </c>
    </row>
    <row r="135" customFormat="false" ht="1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9" t="str">
        <f aca="false">IF(A135="","",IFERROR(INDEX(Tracks!$E$2:$E$41,MATCH(A135,Tracks!$A$2:$A$41,0)),"?"))</f>
        <v/>
      </c>
      <c r="P135" s="9" t="str">
        <f aca="false">IF(A135="","",IFERROR(N(INDEX(Tracks!$F$2:$F$41,MATCH(A135,Tracks!$A$2:$A$41,0))),""))</f>
        <v/>
      </c>
      <c r="Q135" s="10" t="str">
        <f aca="false">IF(D135&lt;&gt;"",D135-1,IF(OR(A135="",C135="",N(P135)&lt;=0),"",(N(B135)*60+C135-IFERROR(N(INDEX(Tracks!$G$2:$G$41,MATCH(A135,Tracks!$A$2:$A$41,0))),0))*P135/240))</f>
        <v/>
      </c>
      <c r="R135" s="9" t="str">
        <f aca="false">IF(Q135="","",INT(Q135)+1)</f>
        <v/>
      </c>
      <c r="S135" s="10" t="str">
        <f aca="false">IF(OR(Q135="",D135&lt;&gt;""),"",MIN(4.75,ROUND((Q135-INT(Q135))*16,0)/4+1))</f>
        <v/>
      </c>
      <c r="T135" s="11" t="str">
        <f aca="false">IF(OR(E135="",N(P135)&lt;=0),"",E135*P135/240)</f>
        <v/>
      </c>
      <c r="U135" s="9" t="str">
        <f aca="false">IF(Q135="","",IF(MIN(MOD(Q135,32),32-MOD(Q135,32))&lt;=0.25,32,IF(MIN(MOD(Q135,16),16-MOD(Q135,16))&lt;=0.25,16,IF(MIN(MOD(Q135,8),8-MOD(Q135,8))&lt;=0.25,8,""))))</f>
        <v/>
      </c>
      <c r="V135" s="9" t="str">
        <f aca="false">IF(OR(Q135="",T135=""),"",IF(MIN(MOD((Q135+T135),32),32-MOD((Q135+T135),32))&lt;=0.25,32,IF(MIN(MOD((Q135+T135),16),16-MOD((Q135+T135),16))&lt;=0.25,16,IF(MIN(MOD((Q135+T135),8),8-MOD((Q135+T135),8))&lt;=0.25,8,""))))</f>
        <v/>
      </c>
    </row>
    <row r="136" customFormat="false" ht="1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9" t="str">
        <f aca="false">IF(A136="","",IFERROR(INDEX(Tracks!$E$2:$E$41,MATCH(A136,Tracks!$A$2:$A$41,0)),"?"))</f>
        <v/>
      </c>
      <c r="P136" s="9" t="str">
        <f aca="false">IF(A136="","",IFERROR(N(INDEX(Tracks!$F$2:$F$41,MATCH(A136,Tracks!$A$2:$A$41,0))),""))</f>
        <v/>
      </c>
      <c r="Q136" s="10" t="str">
        <f aca="false">IF(D136&lt;&gt;"",D136-1,IF(OR(A136="",C136="",N(P136)&lt;=0),"",(N(B136)*60+C136-IFERROR(N(INDEX(Tracks!$G$2:$G$41,MATCH(A136,Tracks!$A$2:$A$41,0))),0))*P136/240))</f>
        <v/>
      </c>
      <c r="R136" s="9" t="str">
        <f aca="false">IF(Q136="","",INT(Q136)+1)</f>
        <v/>
      </c>
      <c r="S136" s="10" t="str">
        <f aca="false">IF(OR(Q136="",D136&lt;&gt;""),"",MIN(4.75,ROUND((Q136-INT(Q136))*16,0)/4+1))</f>
        <v/>
      </c>
      <c r="T136" s="11" t="str">
        <f aca="false">IF(OR(E136="",N(P136)&lt;=0),"",E136*P136/240)</f>
        <v/>
      </c>
      <c r="U136" s="9" t="str">
        <f aca="false">IF(Q136="","",IF(MIN(MOD(Q136,32),32-MOD(Q136,32))&lt;=0.25,32,IF(MIN(MOD(Q136,16),16-MOD(Q136,16))&lt;=0.25,16,IF(MIN(MOD(Q136,8),8-MOD(Q136,8))&lt;=0.25,8,""))))</f>
        <v/>
      </c>
      <c r="V136" s="9" t="str">
        <f aca="false">IF(OR(Q136="",T136=""),"",IF(MIN(MOD((Q136+T136),32),32-MOD((Q136+T136),32))&lt;=0.25,32,IF(MIN(MOD((Q136+T136),16),16-MOD((Q136+T136),16))&lt;=0.25,16,IF(MIN(MOD((Q136+T136),8),8-MOD((Q136+T136),8))&lt;=0.25,8,""))))</f>
        <v/>
      </c>
    </row>
    <row r="137" customFormat="false" ht="1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9" t="str">
        <f aca="false">IF(A137="","",IFERROR(INDEX(Tracks!$E$2:$E$41,MATCH(A137,Tracks!$A$2:$A$41,0)),"?"))</f>
        <v/>
      </c>
      <c r="P137" s="9" t="str">
        <f aca="false">IF(A137="","",IFERROR(N(INDEX(Tracks!$F$2:$F$41,MATCH(A137,Tracks!$A$2:$A$41,0))),""))</f>
        <v/>
      </c>
      <c r="Q137" s="10" t="str">
        <f aca="false">IF(D137&lt;&gt;"",D137-1,IF(OR(A137="",C137="",N(P137)&lt;=0),"",(N(B137)*60+C137-IFERROR(N(INDEX(Tracks!$G$2:$G$41,MATCH(A137,Tracks!$A$2:$A$41,0))),0))*P137/240))</f>
        <v/>
      </c>
      <c r="R137" s="9" t="str">
        <f aca="false">IF(Q137="","",INT(Q137)+1)</f>
        <v/>
      </c>
      <c r="S137" s="10" t="str">
        <f aca="false">IF(OR(Q137="",D137&lt;&gt;""),"",MIN(4.75,ROUND((Q137-INT(Q137))*16,0)/4+1))</f>
        <v/>
      </c>
      <c r="T137" s="11" t="str">
        <f aca="false">IF(OR(E137="",N(P137)&lt;=0),"",E137*P137/240)</f>
        <v/>
      </c>
      <c r="U137" s="9" t="str">
        <f aca="false">IF(Q137="","",IF(MIN(MOD(Q137,32),32-MOD(Q137,32))&lt;=0.25,32,IF(MIN(MOD(Q137,16),16-MOD(Q137,16))&lt;=0.25,16,IF(MIN(MOD(Q137,8),8-MOD(Q137,8))&lt;=0.25,8,""))))</f>
        <v/>
      </c>
      <c r="V137" s="9" t="str">
        <f aca="false">IF(OR(Q137="",T137=""),"",IF(MIN(MOD((Q137+T137),32),32-MOD((Q137+T137),32))&lt;=0.25,32,IF(MIN(MOD((Q137+T137),16),16-MOD((Q137+T137),16))&lt;=0.25,16,IF(MIN(MOD((Q137+T137),8),8-MOD((Q137+T137),8))&lt;=0.25,8,""))))</f>
        <v/>
      </c>
    </row>
    <row r="138" customFormat="false" ht="1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9" t="str">
        <f aca="false">IF(A138="","",IFERROR(INDEX(Tracks!$E$2:$E$41,MATCH(A138,Tracks!$A$2:$A$41,0)),"?"))</f>
        <v/>
      </c>
      <c r="P138" s="9" t="str">
        <f aca="false">IF(A138="","",IFERROR(N(INDEX(Tracks!$F$2:$F$41,MATCH(A138,Tracks!$A$2:$A$41,0))),""))</f>
        <v/>
      </c>
      <c r="Q138" s="10" t="str">
        <f aca="false">IF(D138&lt;&gt;"",D138-1,IF(OR(A138="",C138="",N(P138)&lt;=0),"",(N(B138)*60+C138-IFERROR(N(INDEX(Tracks!$G$2:$G$41,MATCH(A138,Tracks!$A$2:$A$41,0))),0))*P138/240))</f>
        <v/>
      </c>
      <c r="R138" s="9" t="str">
        <f aca="false">IF(Q138="","",INT(Q138)+1)</f>
        <v/>
      </c>
      <c r="S138" s="10" t="str">
        <f aca="false">IF(OR(Q138="",D138&lt;&gt;""),"",MIN(4.75,ROUND((Q138-INT(Q138))*16,0)/4+1))</f>
        <v/>
      </c>
      <c r="T138" s="11" t="str">
        <f aca="false">IF(OR(E138="",N(P138)&lt;=0),"",E138*P138/240)</f>
        <v/>
      </c>
      <c r="U138" s="9" t="str">
        <f aca="false">IF(Q138="","",IF(MIN(MOD(Q138,32),32-MOD(Q138,32))&lt;=0.25,32,IF(MIN(MOD(Q138,16),16-MOD(Q138,16))&lt;=0.25,16,IF(MIN(MOD(Q138,8),8-MOD(Q138,8))&lt;=0.25,8,""))))</f>
        <v/>
      </c>
      <c r="V138" s="9" t="str">
        <f aca="false">IF(OR(Q138="",T138=""),"",IF(MIN(MOD((Q138+T138),32),32-MOD((Q138+T138),32))&lt;=0.25,32,IF(MIN(MOD((Q138+T138),16),16-MOD((Q138+T138),16))&lt;=0.25,16,IF(MIN(MOD((Q138+T138),8),8-MOD((Q138+T138),8))&lt;=0.25,8,""))))</f>
        <v/>
      </c>
    </row>
    <row r="139" customFormat="false" ht="1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9" t="str">
        <f aca="false">IF(A139="","",IFERROR(INDEX(Tracks!$E$2:$E$41,MATCH(A139,Tracks!$A$2:$A$41,0)),"?"))</f>
        <v/>
      </c>
      <c r="P139" s="9" t="str">
        <f aca="false">IF(A139="","",IFERROR(N(INDEX(Tracks!$F$2:$F$41,MATCH(A139,Tracks!$A$2:$A$41,0))),""))</f>
        <v/>
      </c>
      <c r="Q139" s="10" t="str">
        <f aca="false">IF(D139&lt;&gt;"",D139-1,IF(OR(A139="",C139="",N(P139)&lt;=0),"",(N(B139)*60+C139-IFERROR(N(INDEX(Tracks!$G$2:$G$41,MATCH(A139,Tracks!$A$2:$A$41,0))),0))*P139/240))</f>
        <v/>
      </c>
      <c r="R139" s="9" t="str">
        <f aca="false">IF(Q139="","",INT(Q139)+1)</f>
        <v/>
      </c>
      <c r="S139" s="10" t="str">
        <f aca="false">IF(OR(Q139="",D139&lt;&gt;""),"",MIN(4.75,ROUND((Q139-INT(Q139))*16,0)/4+1))</f>
        <v/>
      </c>
      <c r="T139" s="11" t="str">
        <f aca="false">IF(OR(E139="",N(P139)&lt;=0),"",E139*P139/240)</f>
        <v/>
      </c>
      <c r="U139" s="9" t="str">
        <f aca="false">IF(Q139="","",IF(MIN(MOD(Q139,32),32-MOD(Q139,32))&lt;=0.25,32,IF(MIN(MOD(Q139,16),16-MOD(Q139,16))&lt;=0.25,16,IF(MIN(MOD(Q139,8),8-MOD(Q139,8))&lt;=0.25,8,""))))</f>
        <v/>
      </c>
      <c r="V139" s="9" t="str">
        <f aca="false">IF(OR(Q139="",T139=""),"",IF(MIN(MOD((Q139+T139),32),32-MOD((Q139+T139),32))&lt;=0.25,32,IF(MIN(MOD((Q139+T139),16),16-MOD((Q139+T139),16))&lt;=0.25,16,IF(MIN(MOD((Q139+T139),8),8-MOD((Q139+T139),8))&lt;=0.25,8,""))))</f>
        <v/>
      </c>
    </row>
    <row r="140" customFormat="false" ht="1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9" t="str">
        <f aca="false">IF(A140="","",IFERROR(INDEX(Tracks!$E$2:$E$41,MATCH(A140,Tracks!$A$2:$A$41,0)),"?"))</f>
        <v/>
      </c>
      <c r="P140" s="9" t="str">
        <f aca="false">IF(A140="","",IFERROR(N(INDEX(Tracks!$F$2:$F$41,MATCH(A140,Tracks!$A$2:$A$41,0))),""))</f>
        <v/>
      </c>
      <c r="Q140" s="10" t="str">
        <f aca="false">IF(D140&lt;&gt;"",D140-1,IF(OR(A140="",C140="",N(P140)&lt;=0),"",(N(B140)*60+C140-IFERROR(N(INDEX(Tracks!$G$2:$G$41,MATCH(A140,Tracks!$A$2:$A$41,0))),0))*P140/240))</f>
        <v/>
      </c>
      <c r="R140" s="9" t="str">
        <f aca="false">IF(Q140="","",INT(Q140)+1)</f>
        <v/>
      </c>
      <c r="S140" s="10" t="str">
        <f aca="false">IF(OR(Q140="",D140&lt;&gt;""),"",MIN(4.75,ROUND((Q140-INT(Q140))*16,0)/4+1))</f>
        <v/>
      </c>
      <c r="T140" s="11" t="str">
        <f aca="false">IF(OR(E140="",N(P140)&lt;=0),"",E140*P140/240)</f>
        <v/>
      </c>
      <c r="U140" s="9" t="str">
        <f aca="false">IF(Q140="","",IF(MIN(MOD(Q140,32),32-MOD(Q140,32))&lt;=0.25,32,IF(MIN(MOD(Q140,16),16-MOD(Q140,16))&lt;=0.25,16,IF(MIN(MOD(Q140,8),8-MOD(Q140,8))&lt;=0.25,8,""))))</f>
        <v/>
      </c>
      <c r="V140" s="9" t="str">
        <f aca="false">IF(OR(Q140="",T140=""),"",IF(MIN(MOD((Q140+T140),32),32-MOD((Q140+T140),32))&lt;=0.25,32,IF(MIN(MOD((Q140+T140),16),16-MOD((Q140+T140),16))&lt;=0.25,16,IF(MIN(MOD((Q140+T140),8),8-MOD((Q140+T140),8))&lt;=0.25,8,""))))</f>
        <v/>
      </c>
    </row>
    <row r="141" customFormat="false" ht="1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9" t="str">
        <f aca="false">IF(A141="","",IFERROR(INDEX(Tracks!$E$2:$E$41,MATCH(A141,Tracks!$A$2:$A$41,0)),"?"))</f>
        <v/>
      </c>
      <c r="P141" s="9" t="str">
        <f aca="false">IF(A141="","",IFERROR(N(INDEX(Tracks!$F$2:$F$41,MATCH(A141,Tracks!$A$2:$A$41,0))),""))</f>
        <v/>
      </c>
      <c r="Q141" s="10" t="str">
        <f aca="false">IF(D141&lt;&gt;"",D141-1,IF(OR(A141="",C141="",N(P141)&lt;=0),"",(N(B141)*60+C141-IFERROR(N(INDEX(Tracks!$G$2:$G$41,MATCH(A141,Tracks!$A$2:$A$41,0))),0))*P141/240))</f>
        <v/>
      </c>
      <c r="R141" s="9" t="str">
        <f aca="false">IF(Q141="","",INT(Q141)+1)</f>
        <v/>
      </c>
      <c r="S141" s="10" t="str">
        <f aca="false">IF(OR(Q141="",D141&lt;&gt;""),"",MIN(4.75,ROUND((Q141-INT(Q141))*16,0)/4+1))</f>
        <v/>
      </c>
      <c r="T141" s="11" t="str">
        <f aca="false">IF(OR(E141="",N(P141)&lt;=0),"",E141*P141/240)</f>
        <v/>
      </c>
      <c r="U141" s="9" t="str">
        <f aca="false">IF(Q141="","",IF(MIN(MOD(Q141,32),32-MOD(Q141,32))&lt;=0.25,32,IF(MIN(MOD(Q141,16),16-MOD(Q141,16))&lt;=0.25,16,IF(MIN(MOD(Q141,8),8-MOD(Q141,8))&lt;=0.25,8,""))))</f>
        <v/>
      </c>
      <c r="V141" s="9" t="str">
        <f aca="false">IF(OR(Q141="",T141=""),"",IF(MIN(MOD((Q141+T141),32),32-MOD((Q141+T141),32))&lt;=0.25,32,IF(MIN(MOD((Q141+T141),16),16-MOD((Q141+T141),16))&lt;=0.25,16,IF(MIN(MOD((Q141+T141),8),8-MOD((Q141+T141),8))&lt;=0.25,8,""))))</f>
        <v/>
      </c>
    </row>
    <row r="142" customFormat="false" ht="1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9" t="str">
        <f aca="false">IF(A142="","",IFERROR(INDEX(Tracks!$E$2:$E$41,MATCH(A142,Tracks!$A$2:$A$41,0)),"?"))</f>
        <v/>
      </c>
      <c r="P142" s="9" t="str">
        <f aca="false">IF(A142="","",IFERROR(N(INDEX(Tracks!$F$2:$F$41,MATCH(A142,Tracks!$A$2:$A$41,0))),""))</f>
        <v/>
      </c>
      <c r="Q142" s="10" t="str">
        <f aca="false">IF(D142&lt;&gt;"",D142-1,IF(OR(A142="",C142="",N(P142)&lt;=0),"",(N(B142)*60+C142-IFERROR(N(INDEX(Tracks!$G$2:$G$41,MATCH(A142,Tracks!$A$2:$A$41,0))),0))*P142/240))</f>
        <v/>
      </c>
      <c r="R142" s="9" t="str">
        <f aca="false">IF(Q142="","",INT(Q142)+1)</f>
        <v/>
      </c>
      <c r="S142" s="10" t="str">
        <f aca="false">IF(OR(Q142="",D142&lt;&gt;""),"",MIN(4.75,ROUND((Q142-INT(Q142))*16,0)/4+1))</f>
        <v/>
      </c>
      <c r="T142" s="11" t="str">
        <f aca="false">IF(OR(E142="",N(P142)&lt;=0),"",E142*P142/240)</f>
        <v/>
      </c>
      <c r="U142" s="9" t="str">
        <f aca="false">IF(Q142="","",IF(MIN(MOD(Q142,32),32-MOD(Q142,32))&lt;=0.25,32,IF(MIN(MOD(Q142,16),16-MOD(Q142,16))&lt;=0.25,16,IF(MIN(MOD(Q142,8),8-MOD(Q142,8))&lt;=0.25,8,""))))</f>
        <v/>
      </c>
      <c r="V142" s="9" t="str">
        <f aca="false">IF(OR(Q142="",T142=""),"",IF(MIN(MOD((Q142+T142),32),32-MOD((Q142+T142),32))&lt;=0.25,32,IF(MIN(MOD((Q142+T142),16),16-MOD((Q142+T142),16))&lt;=0.25,16,IF(MIN(MOD((Q142+T142),8),8-MOD((Q142+T142),8))&lt;=0.25,8,""))))</f>
        <v/>
      </c>
    </row>
    <row r="143" customFormat="false" ht="1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9" t="str">
        <f aca="false">IF(A143="","",IFERROR(INDEX(Tracks!$E$2:$E$41,MATCH(A143,Tracks!$A$2:$A$41,0)),"?"))</f>
        <v/>
      </c>
      <c r="P143" s="9" t="str">
        <f aca="false">IF(A143="","",IFERROR(N(INDEX(Tracks!$F$2:$F$41,MATCH(A143,Tracks!$A$2:$A$41,0))),""))</f>
        <v/>
      </c>
      <c r="Q143" s="10" t="str">
        <f aca="false">IF(D143&lt;&gt;"",D143-1,IF(OR(A143="",C143="",N(P143)&lt;=0),"",(N(B143)*60+C143-IFERROR(N(INDEX(Tracks!$G$2:$G$41,MATCH(A143,Tracks!$A$2:$A$41,0))),0))*P143/240))</f>
        <v/>
      </c>
      <c r="R143" s="9" t="str">
        <f aca="false">IF(Q143="","",INT(Q143)+1)</f>
        <v/>
      </c>
      <c r="S143" s="10" t="str">
        <f aca="false">IF(OR(Q143="",D143&lt;&gt;""),"",MIN(4.75,ROUND((Q143-INT(Q143))*16,0)/4+1))</f>
        <v/>
      </c>
      <c r="T143" s="11" t="str">
        <f aca="false">IF(OR(E143="",N(P143)&lt;=0),"",E143*P143/240)</f>
        <v/>
      </c>
      <c r="U143" s="9" t="str">
        <f aca="false">IF(Q143="","",IF(MIN(MOD(Q143,32),32-MOD(Q143,32))&lt;=0.25,32,IF(MIN(MOD(Q143,16),16-MOD(Q143,16))&lt;=0.25,16,IF(MIN(MOD(Q143,8),8-MOD(Q143,8))&lt;=0.25,8,""))))</f>
        <v/>
      </c>
      <c r="V143" s="9" t="str">
        <f aca="false">IF(OR(Q143="",T143=""),"",IF(MIN(MOD((Q143+T143),32),32-MOD((Q143+T143),32))&lt;=0.25,32,IF(MIN(MOD((Q143+T143),16),16-MOD((Q143+T143),16))&lt;=0.25,16,IF(MIN(MOD((Q143+T143),8),8-MOD((Q143+T143),8))&lt;=0.25,8,""))))</f>
        <v/>
      </c>
    </row>
    <row r="144" customFormat="false" ht="1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9" t="str">
        <f aca="false">IF(A144="","",IFERROR(INDEX(Tracks!$E$2:$E$41,MATCH(A144,Tracks!$A$2:$A$41,0)),"?"))</f>
        <v/>
      </c>
      <c r="P144" s="9" t="str">
        <f aca="false">IF(A144="","",IFERROR(N(INDEX(Tracks!$F$2:$F$41,MATCH(A144,Tracks!$A$2:$A$41,0))),""))</f>
        <v/>
      </c>
      <c r="Q144" s="10" t="str">
        <f aca="false">IF(D144&lt;&gt;"",D144-1,IF(OR(A144="",C144="",N(P144)&lt;=0),"",(N(B144)*60+C144-IFERROR(N(INDEX(Tracks!$G$2:$G$41,MATCH(A144,Tracks!$A$2:$A$41,0))),0))*P144/240))</f>
        <v/>
      </c>
      <c r="R144" s="9" t="str">
        <f aca="false">IF(Q144="","",INT(Q144)+1)</f>
        <v/>
      </c>
      <c r="S144" s="10" t="str">
        <f aca="false">IF(OR(Q144="",D144&lt;&gt;""),"",MIN(4.75,ROUND((Q144-INT(Q144))*16,0)/4+1))</f>
        <v/>
      </c>
      <c r="T144" s="11" t="str">
        <f aca="false">IF(OR(E144="",N(P144)&lt;=0),"",E144*P144/240)</f>
        <v/>
      </c>
      <c r="U144" s="9" t="str">
        <f aca="false">IF(Q144="","",IF(MIN(MOD(Q144,32),32-MOD(Q144,32))&lt;=0.25,32,IF(MIN(MOD(Q144,16),16-MOD(Q144,16))&lt;=0.25,16,IF(MIN(MOD(Q144,8),8-MOD(Q144,8))&lt;=0.25,8,""))))</f>
        <v/>
      </c>
      <c r="V144" s="9" t="str">
        <f aca="false">IF(OR(Q144="",T144=""),"",IF(MIN(MOD((Q144+T144),32),32-MOD((Q144+T144),32))&lt;=0.25,32,IF(MIN(MOD((Q144+T144),16),16-MOD((Q144+T144),16))&lt;=0.25,16,IF(MIN(MOD((Q144+T144),8),8-MOD((Q144+T144),8))&lt;=0.25,8,""))))</f>
        <v/>
      </c>
    </row>
    <row r="145" customFormat="false" ht="1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9" t="str">
        <f aca="false">IF(A145="","",IFERROR(INDEX(Tracks!$E$2:$E$41,MATCH(A145,Tracks!$A$2:$A$41,0)),"?"))</f>
        <v/>
      </c>
      <c r="P145" s="9" t="str">
        <f aca="false">IF(A145="","",IFERROR(N(INDEX(Tracks!$F$2:$F$41,MATCH(A145,Tracks!$A$2:$A$41,0))),""))</f>
        <v/>
      </c>
      <c r="Q145" s="10" t="str">
        <f aca="false">IF(D145&lt;&gt;"",D145-1,IF(OR(A145="",C145="",N(P145)&lt;=0),"",(N(B145)*60+C145-IFERROR(N(INDEX(Tracks!$G$2:$G$41,MATCH(A145,Tracks!$A$2:$A$41,0))),0))*P145/240))</f>
        <v/>
      </c>
      <c r="R145" s="9" t="str">
        <f aca="false">IF(Q145="","",INT(Q145)+1)</f>
        <v/>
      </c>
      <c r="S145" s="10" t="str">
        <f aca="false">IF(OR(Q145="",D145&lt;&gt;""),"",MIN(4.75,ROUND((Q145-INT(Q145))*16,0)/4+1))</f>
        <v/>
      </c>
      <c r="T145" s="11" t="str">
        <f aca="false">IF(OR(E145="",N(P145)&lt;=0),"",E145*P145/240)</f>
        <v/>
      </c>
      <c r="U145" s="9" t="str">
        <f aca="false">IF(Q145="","",IF(MIN(MOD(Q145,32),32-MOD(Q145,32))&lt;=0.25,32,IF(MIN(MOD(Q145,16),16-MOD(Q145,16))&lt;=0.25,16,IF(MIN(MOD(Q145,8),8-MOD(Q145,8))&lt;=0.25,8,""))))</f>
        <v/>
      </c>
      <c r="V145" s="9" t="str">
        <f aca="false">IF(OR(Q145="",T145=""),"",IF(MIN(MOD((Q145+T145),32),32-MOD((Q145+T145),32))&lt;=0.25,32,IF(MIN(MOD((Q145+T145),16),16-MOD((Q145+T145),16))&lt;=0.25,16,IF(MIN(MOD((Q145+T145),8),8-MOD((Q145+T145),8))&lt;=0.25,8,""))))</f>
        <v/>
      </c>
    </row>
    <row r="146" customFormat="false" ht="1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9" t="str">
        <f aca="false">IF(A146="","",IFERROR(INDEX(Tracks!$E$2:$E$41,MATCH(A146,Tracks!$A$2:$A$41,0)),"?"))</f>
        <v/>
      </c>
      <c r="P146" s="9" t="str">
        <f aca="false">IF(A146="","",IFERROR(N(INDEX(Tracks!$F$2:$F$41,MATCH(A146,Tracks!$A$2:$A$41,0))),""))</f>
        <v/>
      </c>
      <c r="Q146" s="10" t="str">
        <f aca="false">IF(D146&lt;&gt;"",D146-1,IF(OR(A146="",C146="",N(P146)&lt;=0),"",(N(B146)*60+C146-IFERROR(N(INDEX(Tracks!$G$2:$G$41,MATCH(A146,Tracks!$A$2:$A$41,0))),0))*P146/240))</f>
        <v/>
      </c>
      <c r="R146" s="9" t="str">
        <f aca="false">IF(Q146="","",INT(Q146)+1)</f>
        <v/>
      </c>
      <c r="S146" s="10" t="str">
        <f aca="false">IF(OR(Q146="",D146&lt;&gt;""),"",MIN(4.75,ROUND((Q146-INT(Q146))*16,0)/4+1))</f>
        <v/>
      </c>
      <c r="T146" s="11" t="str">
        <f aca="false">IF(OR(E146="",N(P146)&lt;=0),"",E146*P146/240)</f>
        <v/>
      </c>
      <c r="U146" s="9" t="str">
        <f aca="false">IF(Q146="","",IF(MIN(MOD(Q146,32),32-MOD(Q146,32))&lt;=0.25,32,IF(MIN(MOD(Q146,16),16-MOD(Q146,16))&lt;=0.25,16,IF(MIN(MOD(Q146,8),8-MOD(Q146,8))&lt;=0.25,8,""))))</f>
        <v/>
      </c>
      <c r="V146" s="9" t="str">
        <f aca="false">IF(OR(Q146="",T146=""),"",IF(MIN(MOD((Q146+T146),32),32-MOD((Q146+T146),32))&lt;=0.25,32,IF(MIN(MOD((Q146+T146),16),16-MOD((Q146+T146),16))&lt;=0.25,16,IF(MIN(MOD((Q146+T146),8),8-MOD((Q146+T146),8))&lt;=0.25,8,""))))</f>
        <v/>
      </c>
    </row>
    <row r="147" customFormat="false" ht="1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9" t="str">
        <f aca="false">IF(A147="","",IFERROR(INDEX(Tracks!$E$2:$E$41,MATCH(A147,Tracks!$A$2:$A$41,0)),"?"))</f>
        <v/>
      </c>
      <c r="P147" s="9" t="str">
        <f aca="false">IF(A147="","",IFERROR(N(INDEX(Tracks!$F$2:$F$41,MATCH(A147,Tracks!$A$2:$A$41,0))),""))</f>
        <v/>
      </c>
      <c r="Q147" s="10" t="str">
        <f aca="false">IF(D147&lt;&gt;"",D147-1,IF(OR(A147="",C147="",N(P147)&lt;=0),"",(N(B147)*60+C147-IFERROR(N(INDEX(Tracks!$G$2:$G$41,MATCH(A147,Tracks!$A$2:$A$41,0))),0))*P147/240))</f>
        <v/>
      </c>
      <c r="R147" s="9" t="str">
        <f aca="false">IF(Q147="","",INT(Q147)+1)</f>
        <v/>
      </c>
      <c r="S147" s="10" t="str">
        <f aca="false">IF(OR(Q147="",D147&lt;&gt;""),"",MIN(4.75,ROUND((Q147-INT(Q147))*16,0)/4+1))</f>
        <v/>
      </c>
      <c r="T147" s="11" t="str">
        <f aca="false">IF(OR(E147="",N(P147)&lt;=0),"",E147*P147/240)</f>
        <v/>
      </c>
      <c r="U147" s="9" t="str">
        <f aca="false">IF(Q147="","",IF(MIN(MOD(Q147,32),32-MOD(Q147,32))&lt;=0.25,32,IF(MIN(MOD(Q147,16),16-MOD(Q147,16))&lt;=0.25,16,IF(MIN(MOD(Q147,8),8-MOD(Q147,8))&lt;=0.25,8,""))))</f>
        <v/>
      </c>
      <c r="V147" s="9" t="str">
        <f aca="false">IF(OR(Q147="",T147=""),"",IF(MIN(MOD((Q147+T147),32),32-MOD((Q147+T147),32))&lt;=0.25,32,IF(MIN(MOD((Q147+T147),16),16-MOD((Q147+T147),16))&lt;=0.25,16,IF(MIN(MOD((Q147+T147),8),8-MOD((Q147+T147),8))&lt;=0.25,8,""))))</f>
        <v/>
      </c>
    </row>
    <row r="148" customFormat="false" ht="1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9" t="str">
        <f aca="false">IF(A148="","",IFERROR(INDEX(Tracks!$E$2:$E$41,MATCH(A148,Tracks!$A$2:$A$41,0)),"?"))</f>
        <v/>
      </c>
      <c r="P148" s="9" t="str">
        <f aca="false">IF(A148="","",IFERROR(N(INDEX(Tracks!$F$2:$F$41,MATCH(A148,Tracks!$A$2:$A$41,0))),""))</f>
        <v/>
      </c>
      <c r="Q148" s="10" t="str">
        <f aca="false">IF(D148&lt;&gt;"",D148-1,IF(OR(A148="",C148="",N(P148)&lt;=0),"",(N(B148)*60+C148-IFERROR(N(INDEX(Tracks!$G$2:$G$41,MATCH(A148,Tracks!$A$2:$A$41,0))),0))*P148/240))</f>
        <v/>
      </c>
      <c r="R148" s="9" t="str">
        <f aca="false">IF(Q148="","",INT(Q148)+1)</f>
        <v/>
      </c>
      <c r="S148" s="10" t="str">
        <f aca="false">IF(OR(Q148="",D148&lt;&gt;""),"",MIN(4.75,ROUND((Q148-INT(Q148))*16,0)/4+1))</f>
        <v/>
      </c>
      <c r="T148" s="11" t="str">
        <f aca="false">IF(OR(E148="",N(P148)&lt;=0),"",E148*P148/240)</f>
        <v/>
      </c>
      <c r="U148" s="9" t="str">
        <f aca="false">IF(Q148="","",IF(MIN(MOD(Q148,32),32-MOD(Q148,32))&lt;=0.25,32,IF(MIN(MOD(Q148,16),16-MOD(Q148,16))&lt;=0.25,16,IF(MIN(MOD(Q148,8),8-MOD(Q148,8))&lt;=0.25,8,""))))</f>
        <v/>
      </c>
      <c r="V148" s="9" t="str">
        <f aca="false">IF(OR(Q148="",T148=""),"",IF(MIN(MOD((Q148+T148),32),32-MOD((Q148+T148),32))&lt;=0.25,32,IF(MIN(MOD((Q148+T148),16),16-MOD((Q148+T148),16))&lt;=0.25,16,IF(MIN(MOD((Q148+T148),8),8-MOD((Q148+T148),8))&lt;=0.25,8,""))))</f>
        <v/>
      </c>
    </row>
    <row r="149" customFormat="false" ht="1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9" t="str">
        <f aca="false">IF(A149="","",IFERROR(INDEX(Tracks!$E$2:$E$41,MATCH(A149,Tracks!$A$2:$A$41,0)),"?"))</f>
        <v/>
      </c>
      <c r="P149" s="9" t="str">
        <f aca="false">IF(A149="","",IFERROR(N(INDEX(Tracks!$F$2:$F$41,MATCH(A149,Tracks!$A$2:$A$41,0))),""))</f>
        <v/>
      </c>
      <c r="Q149" s="10" t="str">
        <f aca="false">IF(D149&lt;&gt;"",D149-1,IF(OR(A149="",C149="",N(P149)&lt;=0),"",(N(B149)*60+C149-IFERROR(N(INDEX(Tracks!$G$2:$G$41,MATCH(A149,Tracks!$A$2:$A$41,0))),0))*P149/240))</f>
        <v/>
      </c>
      <c r="R149" s="9" t="str">
        <f aca="false">IF(Q149="","",INT(Q149)+1)</f>
        <v/>
      </c>
      <c r="S149" s="10" t="str">
        <f aca="false">IF(OR(Q149="",D149&lt;&gt;""),"",MIN(4.75,ROUND((Q149-INT(Q149))*16,0)/4+1))</f>
        <v/>
      </c>
      <c r="T149" s="11" t="str">
        <f aca="false">IF(OR(E149="",N(P149)&lt;=0),"",E149*P149/240)</f>
        <v/>
      </c>
      <c r="U149" s="9" t="str">
        <f aca="false">IF(Q149="","",IF(MIN(MOD(Q149,32),32-MOD(Q149,32))&lt;=0.25,32,IF(MIN(MOD(Q149,16),16-MOD(Q149,16))&lt;=0.25,16,IF(MIN(MOD(Q149,8),8-MOD(Q149,8))&lt;=0.25,8,""))))</f>
        <v/>
      </c>
      <c r="V149" s="9" t="str">
        <f aca="false">IF(OR(Q149="",T149=""),"",IF(MIN(MOD((Q149+T149),32),32-MOD((Q149+T149),32))&lt;=0.25,32,IF(MIN(MOD((Q149+T149),16),16-MOD((Q149+T149),16))&lt;=0.25,16,IF(MIN(MOD((Q149+T149),8),8-MOD((Q149+T149),8))&lt;=0.25,8,""))))</f>
        <v/>
      </c>
    </row>
    <row r="150" customFormat="false" ht="1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9" t="str">
        <f aca="false">IF(A150="","",IFERROR(INDEX(Tracks!$E$2:$E$41,MATCH(A150,Tracks!$A$2:$A$41,0)),"?"))</f>
        <v/>
      </c>
      <c r="P150" s="9" t="str">
        <f aca="false">IF(A150="","",IFERROR(N(INDEX(Tracks!$F$2:$F$41,MATCH(A150,Tracks!$A$2:$A$41,0))),""))</f>
        <v/>
      </c>
      <c r="Q150" s="10" t="str">
        <f aca="false">IF(D150&lt;&gt;"",D150-1,IF(OR(A150="",C150="",N(P150)&lt;=0),"",(N(B150)*60+C150-IFERROR(N(INDEX(Tracks!$G$2:$G$41,MATCH(A150,Tracks!$A$2:$A$41,0))),0))*P150/240))</f>
        <v/>
      </c>
      <c r="R150" s="9" t="str">
        <f aca="false">IF(Q150="","",INT(Q150)+1)</f>
        <v/>
      </c>
      <c r="S150" s="10" t="str">
        <f aca="false">IF(OR(Q150="",D150&lt;&gt;""),"",MIN(4.75,ROUND((Q150-INT(Q150))*16,0)/4+1))</f>
        <v/>
      </c>
      <c r="T150" s="11" t="str">
        <f aca="false">IF(OR(E150="",N(P150)&lt;=0),"",E150*P150/240)</f>
        <v/>
      </c>
      <c r="U150" s="9" t="str">
        <f aca="false">IF(Q150="","",IF(MIN(MOD(Q150,32),32-MOD(Q150,32))&lt;=0.25,32,IF(MIN(MOD(Q150,16),16-MOD(Q150,16))&lt;=0.25,16,IF(MIN(MOD(Q150,8),8-MOD(Q150,8))&lt;=0.25,8,""))))</f>
        <v/>
      </c>
      <c r="V150" s="9" t="str">
        <f aca="false">IF(OR(Q150="",T150=""),"",IF(MIN(MOD((Q150+T150),32),32-MOD((Q150+T150),32))&lt;=0.25,32,IF(MIN(MOD((Q150+T150),16),16-MOD((Q150+T150),16))&lt;=0.25,16,IF(MIN(MOD((Q150+T150),8),8-MOD((Q150+T150),8))&lt;=0.25,8,""))))</f>
        <v/>
      </c>
    </row>
    <row r="151" customFormat="false" ht="1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9" t="str">
        <f aca="false">IF(A151="","",IFERROR(INDEX(Tracks!$E$2:$E$41,MATCH(A151,Tracks!$A$2:$A$41,0)),"?"))</f>
        <v/>
      </c>
      <c r="P151" s="9" t="str">
        <f aca="false">IF(A151="","",IFERROR(N(INDEX(Tracks!$F$2:$F$41,MATCH(A151,Tracks!$A$2:$A$41,0))),""))</f>
        <v/>
      </c>
      <c r="Q151" s="10" t="str">
        <f aca="false">IF(D151&lt;&gt;"",D151-1,IF(OR(A151="",C151="",N(P151)&lt;=0),"",(N(B151)*60+C151-IFERROR(N(INDEX(Tracks!$G$2:$G$41,MATCH(A151,Tracks!$A$2:$A$41,0))),0))*P151/240))</f>
        <v/>
      </c>
      <c r="R151" s="9" t="str">
        <f aca="false">IF(Q151="","",INT(Q151)+1)</f>
        <v/>
      </c>
      <c r="S151" s="10" t="str">
        <f aca="false">IF(OR(Q151="",D151&lt;&gt;""),"",MIN(4.75,ROUND((Q151-INT(Q151))*16,0)/4+1))</f>
        <v/>
      </c>
      <c r="T151" s="11" t="str">
        <f aca="false">IF(OR(E151="",N(P151)&lt;=0),"",E151*P151/240)</f>
        <v/>
      </c>
      <c r="U151" s="9" t="str">
        <f aca="false">IF(Q151="","",IF(MIN(MOD(Q151,32),32-MOD(Q151,32))&lt;=0.25,32,IF(MIN(MOD(Q151,16),16-MOD(Q151,16))&lt;=0.25,16,IF(MIN(MOD(Q151,8),8-MOD(Q151,8))&lt;=0.25,8,""))))</f>
        <v/>
      </c>
      <c r="V151" s="9" t="str">
        <f aca="false">IF(OR(Q151="",T151=""),"",IF(MIN(MOD((Q151+T151),32),32-MOD((Q151+T151),32))&lt;=0.25,32,IF(MIN(MOD((Q151+T151),16),16-MOD((Q151+T151),16))&lt;=0.25,16,IF(MIN(MOD((Q151+T151),8),8-MOD((Q151+T151),8))&lt;=0.25,8,""))))</f>
        <v/>
      </c>
    </row>
    <row r="152" customFormat="false" ht="1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9" t="str">
        <f aca="false">IF(A152="","",IFERROR(INDEX(Tracks!$E$2:$E$41,MATCH(A152,Tracks!$A$2:$A$41,0)),"?"))</f>
        <v/>
      </c>
      <c r="P152" s="9" t="str">
        <f aca="false">IF(A152="","",IFERROR(N(INDEX(Tracks!$F$2:$F$41,MATCH(A152,Tracks!$A$2:$A$41,0))),""))</f>
        <v/>
      </c>
      <c r="Q152" s="10" t="str">
        <f aca="false">IF(D152&lt;&gt;"",D152-1,IF(OR(A152="",C152="",N(P152)&lt;=0),"",(N(B152)*60+C152-IFERROR(N(INDEX(Tracks!$G$2:$G$41,MATCH(A152,Tracks!$A$2:$A$41,0))),0))*P152/240))</f>
        <v/>
      </c>
      <c r="R152" s="9" t="str">
        <f aca="false">IF(Q152="","",INT(Q152)+1)</f>
        <v/>
      </c>
      <c r="S152" s="10" t="str">
        <f aca="false">IF(OR(Q152="",D152&lt;&gt;""),"",MIN(4.75,ROUND((Q152-INT(Q152))*16,0)/4+1))</f>
        <v/>
      </c>
      <c r="T152" s="11" t="str">
        <f aca="false">IF(OR(E152="",N(P152)&lt;=0),"",E152*P152/240)</f>
        <v/>
      </c>
      <c r="U152" s="9" t="str">
        <f aca="false">IF(Q152="","",IF(MIN(MOD(Q152,32),32-MOD(Q152,32))&lt;=0.25,32,IF(MIN(MOD(Q152,16),16-MOD(Q152,16))&lt;=0.25,16,IF(MIN(MOD(Q152,8),8-MOD(Q152,8))&lt;=0.25,8,""))))</f>
        <v/>
      </c>
      <c r="V152" s="9" t="str">
        <f aca="false">IF(OR(Q152="",T152=""),"",IF(MIN(MOD((Q152+T152),32),32-MOD((Q152+T152),32))&lt;=0.25,32,IF(MIN(MOD((Q152+T152),16),16-MOD((Q152+T152),16))&lt;=0.25,16,IF(MIN(MOD((Q152+T152),8),8-MOD((Q152+T152),8))&lt;=0.25,8,""))))</f>
        <v/>
      </c>
    </row>
    <row r="153" customFormat="false" ht="1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9" t="str">
        <f aca="false">IF(A153="","",IFERROR(INDEX(Tracks!$E$2:$E$41,MATCH(A153,Tracks!$A$2:$A$41,0)),"?"))</f>
        <v/>
      </c>
      <c r="P153" s="9" t="str">
        <f aca="false">IF(A153="","",IFERROR(N(INDEX(Tracks!$F$2:$F$41,MATCH(A153,Tracks!$A$2:$A$41,0))),""))</f>
        <v/>
      </c>
      <c r="Q153" s="10" t="str">
        <f aca="false">IF(D153&lt;&gt;"",D153-1,IF(OR(A153="",C153="",N(P153)&lt;=0),"",(N(B153)*60+C153-IFERROR(N(INDEX(Tracks!$G$2:$G$41,MATCH(A153,Tracks!$A$2:$A$41,0))),0))*P153/240))</f>
        <v/>
      </c>
      <c r="R153" s="9" t="str">
        <f aca="false">IF(Q153="","",INT(Q153)+1)</f>
        <v/>
      </c>
      <c r="S153" s="10" t="str">
        <f aca="false">IF(OR(Q153="",D153&lt;&gt;""),"",MIN(4.75,ROUND((Q153-INT(Q153))*16,0)/4+1))</f>
        <v/>
      </c>
      <c r="T153" s="11" t="str">
        <f aca="false">IF(OR(E153="",N(P153)&lt;=0),"",E153*P153/240)</f>
        <v/>
      </c>
      <c r="U153" s="9" t="str">
        <f aca="false">IF(Q153="","",IF(MIN(MOD(Q153,32),32-MOD(Q153,32))&lt;=0.25,32,IF(MIN(MOD(Q153,16),16-MOD(Q153,16))&lt;=0.25,16,IF(MIN(MOD(Q153,8),8-MOD(Q153,8))&lt;=0.25,8,""))))</f>
        <v/>
      </c>
      <c r="V153" s="9" t="str">
        <f aca="false">IF(OR(Q153="",T153=""),"",IF(MIN(MOD((Q153+T153),32),32-MOD((Q153+T153),32))&lt;=0.25,32,IF(MIN(MOD((Q153+T153),16),16-MOD((Q153+T153),16))&lt;=0.25,16,IF(MIN(MOD((Q153+T153),8),8-MOD((Q153+T153),8))&lt;=0.25,8,""))))</f>
        <v/>
      </c>
    </row>
    <row r="154" customFormat="false" ht="1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9" t="str">
        <f aca="false">IF(A154="","",IFERROR(INDEX(Tracks!$E$2:$E$41,MATCH(A154,Tracks!$A$2:$A$41,0)),"?"))</f>
        <v/>
      </c>
      <c r="P154" s="9" t="str">
        <f aca="false">IF(A154="","",IFERROR(N(INDEX(Tracks!$F$2:$F$41,MATCH(A154,Tracks!$A$2:$A$41,0))),""))</f>
        <v/>
      </c>
      <c r="Q154" s="10" t="str">
        <f aca="false">IF(D154&lt;&gt;"",D154-1,IF(OR(A154="",C154="",N(P154)&lt;=0),"",(N(B154)*60+C154-IFERROR(N(INDEX(Tracks!$G$2:$G$41,MATCH(A154,Tracks!$A$2:$A$41,0))),0))*P154/240))</f>
        <v/>
      </c>
      <c r="R154" s="9" t="str">
        <f aca="false">IF(Q154="","",INT(Q154)+1)</f>
        <v/>
      </c>
      <c r="S154" s="10" t="str">
        <f aca="false">IF(OR(Q154="",D154&lt;&gt;""),"",MIN(4.75,ROUND((Q154-INT(Q154))*16,0)/4+1))</f>
        <v/>
      </c>
      <c r="T154" s="11" t="str">
        <f aca="false">IF(OR(E154="",N(P154)&lt;=0),"",E154*P154/240)</f>
        <v/>
      </c>
      <c r="U154" s="9" t="str">
        <f aca="false">IF(Q154="","",IF(MIN(MOD(Q154,32),32-MOD(Q154,32))&lt;=0.25,32,IF(MIN(MOD(Q154,16),16-MOD(Q154,16))&lt;=0.25,16,IF(MIN(MOD(Q154,8),8-MOD(Q154,8))&lt;=0.25,8,""))))</f>
        <v/>
      </c>
      <c r="V154" s="9" t="str">
        <f aca="false">IF(OR(Q154="",T154=""),"",IF(MIN(MOD((Q154+T154),32),32-MOD((Q154+T154),32))&lt;=0.25,32,IF(MIN(MOD((Q154+T154),16),16-MOD((Q154+T154),16))&lt;=0.25,16,IF(MIN(MOD((Q154+T154),8),8-MOD((Q154+T154),8))&lt;=0.25,8,""))))</f>
        <v/>
      </c>
    </row>
    <row r="155" customFormat="false" ht="1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9" t="str">
        <f aca="false">IF(A155="","",IFERROR(INDEX(Tracks!$E$2:$E$41,MATCH(A155,Tracks!$A$2:$A$41,0)),"?"))</f>
        <v/>
      </c>
      <c r="P155" s="9" t="str">
        <f aca="false">IF(A155="","",IFERROR(N(INDEX(Tracks!$F$2:$F$41,MATCH(A155,Tracks!$A$2:$A$41,0))),""))</f>
        <v/>
      </c>
      <c r="Q155" s="10" t="str">
        <f aca="false">IF(D155&lt;&gt;"",D155-1,IF(OR(A155="",C155="",N(P155)&lt;=0),"",(N(B155)*60+C155-IFERROR(N(INDEX(Tracks!$G$2:$G$41,MATCH(A155,Tracks!$A$2:$A$41,0))),0))*P155/240))</f>
        <v/>
      </c>
      <c r="R155" s="9" t="str">
        <f aca="false">IF(Q155="","",INT(Q155)+1)</f>
        <v/>
      </c>
      <c r="S155" s="10" t="str">
        <f aca="false">IF(OR(Q155="",D155&lt;&gt;""),"",MIN(4.75,ROUND((Q155-INT(Q155))*16,0)/4+1))</f>
        <v/>
      </c>
      <c r="T155" s="11" t="str">
        <f aca="false">IF(OR(E155="",N(P155)&lt;=0),"",E155*P155/240)</f>
        <v/>
      </c>
      <c r="U155" s="9" t="str">
        <f aca="false">IF(Q155="","",IF(MIN(MOD(Q155,32),32-MOD(Q155,32))&lt;=0.25,32,IF(MIN(MOD(Q155,16),16-MOD(Q155,16))&lt;=0.25,16,IF(MIN(MOD(Q155,8),8-MOD(Q155,8))&lt;=0.25,8,""))))</f>
        <v/>
      </c>
      <c r="V155" s="9" t="str">
        <f aca="false">IF(OR(Q155="",T155=""),"",IF(MIN(MOD((Q155+T155),32),32-MOD((Q155+T155),32))&lt;=0.25,32,IF(MIN(MOD((Q155+T155),16),16-MOD((Q155+T155),16))&lt;=0.25,16,IF(MIN(MOD((Q155+T155),8),8-MOD((Q155+T155),8))&lt;=0.25,8,""))))</f>
        <v/>
      </c>
    </row>
    <row r="156" customFormat="false" ht="1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9" t="str">
        <f aca="false">IF(A156="","",IFERROR(INDEX(Tracks!$E$2:$E$41,MATCH(A156,Tracks!$A$2:$A$41,0)),"?"))</f>
        <v/>
      </c>
      <c r="P156" s="9" t="str">
        <f aca="false">IF(A156="","",IFERROR(N(INDEX(Tracks!$F$2:$F$41,MATCH(A156,Tracks!$A$2:$A$41,0))),""))</f>
        <v/>
      </c>
      <c r="Q156" s="10" t="str">
        <f aca="false">IF(D156&lt;&gt;"",D156-1,IF(OR(A156="",C156="",N(P156)&lt;=0),"",(N(B156)*60+C156-IFERROR(N(INDEX(Tracks!$G$2:$G$41,MATCH(A156,Tracks!$A$2:$A$41,0))),0))*P156/240))</f>
        <v/>
      </c>
      <c r="R156" s="9" t="str">
        <f aca="false">IF(Q156="","",INT(Q156)+1)</f>
        <v/>
      </c>
      <c r="S156" s="10" t="str">
        <f aca="false">IF(OR(Q156="",D156&lt;&gt;""),"",MIN(4.75,ROUND((Q156-INT(Q156))*16,0)/4+1))</f>
        <v/>
      </c>
      <c r="T156" s="11" t="str">
        <f aca="false">IF(OR(E156="",N(P156)&lt;=0),"",E156*P156/240)</f>
        <v/>
      </c>
      <c r="U156" s="9" t="str">
        <f aca="false">IF(Q156="","",IF(MIN(MOD(Q156,32),32-MOD(Q156,32))&lt;=0.25,32,IF(MIN(MOD(Q156,16),16-MOD(Q156,16))&lt;=0.25,16,IF(MIN(MOD(Q156,8),8-MOD(Q156,8))&lt;=0.25,8,""))))</f>
        <v/>
      </c>
      <c r="V156" s="9" t="str">
        <f aca="false">IF(OR(Q156="",T156=""),"",IF(MIN(MOD((Q156+T156),32),32-MOD((Q156+T156),32))&lt;=0.25,32,IF(MIN(MOD((Q156+T156),16),16-MOD((Q156+T156),16))&lt;=0.25,16,IF(MIN(MOD((Q156+T156),8),8-MOD((Q156+T156),8))&lt;=0.25,8,""))))</f>
        <v/>
      </c>
    </row>
    <row r="157" customFormat="false" ht="1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9" t="str">
        <f aca="false">IF(A157="","",IFERROR(INDEX(Tracks!$E$2:$E$41,MATCH(A157,Tracks!$A$2:$A$41,0)),"?"))</f>
        <v/>
      </c>
      <c r="P157" s="9" t="str">
        <f aca="false">IF(A157="","",IFERROR(N(INDEX(Tracks!$F$2:$F$41,MATCH(A157,Tracks!$A$2:$A$41,0))),""))</f>
        <v/>
      </c>
      <c r="Q157" s="10" t="str">
        <f aca="false">IF(D157&lt;&gt;"",D157-1,IF(OR(A157="",C157="",N(P157)&lt;=0),"",(N(B157)*60+C157-IFERROR(N(INDEX(Tracks!$G$2:$G$41,MATCH(A157,Tracks!$A$2:$A$41,0))),0))*P157/240))</f>
        <v/>
      </c>
      <c r="R157" s="9" t="str">
        <f aca="false">IF(Q157="","",INT(Q157)+1)</f>
        <v/>
      </c>
      <c r="S157" s="10" t="str">
        <f aca="false">IF(OR(Q157="",D157&lt;&gt;""),"",MIN(4.75,ROUND((Q157-INT(Q157))*16,0)/4+1))</f>
        <v/>
      </c>
      <c r="T157" s="11" t="str">
        <f aca="false">IF(OR(E157="",N(P157)&lt;=0),"",E157*P157/240)</f>
        <v/>
      </c>
      <c r="U157" s="9" t="str">
        <f aca="false">IF(Q157="","",IF(MIN(MOD(Q157,32),32-MOD(Q157,32))&lt;=0.25,32,IF(MIN(MOD(Q157,16),16-MOD(Q157,16))&lt;=0.25,16,IF(MIN(MOD(Q157,8),8-MOD(Q157,8))&lt;=0.25,8,""))))</f>
        <v/>
      </c>
      <c r="V157" s="9" t="str">
        <f aca="false">IF(OR(Q157="",T157=""),"",IF(MIN(MOD((Q157+T157),32),32-MOD((Q157+T157),32))&lt;=0.25,32,IF(MIN(MOD((Q157+T157),16),16-MOD((Q157+T157),16))&lt;=0.25,16,IF(MIN(MOD((Q157+T157),8),8-MOD((Q157+T157),8))&lt;=0.25,8,""))))</f>
        <v/>
      </c>
    </row>
    <row r="158" customFormat="false" ht="1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9" t="str">
        <f aca="false">IF(A158="","",IFERROR(INDEX(Tracks!$E$2:$E$41,MATCH(A158,Tracks!$A$2:$A$41,0)),"?"))</f>
        <v/>
      </c>
      <c r="P158" s="9" t="str">
        <f aca="false">IF(A158="","",IFERROR(N(INDEX(Tracks!$F$2:$F$41,MATCH(A158,Tracks!$A$2:$A$41,0))),""))</f>
        <v/>
      </c>
      <c r="Q158" s="10" t="str">
        <f aca="false">IF(D158&lt;&gt;"",D158-1,IF(OR(A158="",C158="",N(P158)&lt;=0),"",(N(B158)*60+C158-IFERROR(N(INDEX(Tracks!$G$2:$G$41,MATCH(A158,Tracks!$A$2:$A$41,0))),0))*P158/240))</f>
        <v/>
      </c>
      <c r="R158" s="9" t="str">
        <f aca="false">IF(Q158="","",INT(Q158)+1)</f>
        <v/>
      </c>
      <c r="S158" s="10" t="str">
        <f aca="false">IF(OR(Q158="",D158&lt;&gt;""),"",MIN(4.75,ROUND((Q158-INT(Q158))*16,0)/4+1))</f>
        <v/>
      </c>
      <c r="T158" s="11" t="str">
        <f aca="false">IF(OR(E158="",N(P158)&lt;=0),"",E158*P158/240)</f>
        <v/>
      </c>
      <c r="U158" s="9" t="str">
        <f aca="false">IF(Q158="","",IF(MIN(MOD(Q158,32),32-MOD(Q158,32))&lt;=0.25,32,IF(MIN(MOD(Q158,16),16-MOD(Q158,16))&lt;=0.25,16,IF(MIN(MOD(Q158,8),8-MOD(Q158,8))&lt;=0.25,8,""))))</f>
        <v/>
      </c>
      <c r="V158" s="9" t="str">
        <f aca="false">IF(OR(Q158="",T158=""),"",IF(MIN(MOD((Q158+T158),32),32-MOD((Q158+T158),32))&lt;=0.25,32,IF(MIN(MOD((Q158+T158),16),16-MOD((Q158+T158),16))&lt;=0.25,16,IF(MIN(MOD((Q158+T158),8),8-MOD((Q158+T158),8))&lt;=0.25,8,""))))</f>
        <v/>
      </c>
    </row>
    <row r="159" customFormat="false" ht="1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9" t="str">
        <f aca="false">IF(A159="","",IFERROR(INDEX(Tracks!$E$2:$E$41,MATCH(A159,Tracks!$A$2:$A$41,0)),"?"))</f>
        <v/>
      </c>
      <c r="P159" s="9" t="str">
        <f aca="false">IF(A159="","",IFERROR(N(INDEX(Tracks!$F$2:$F$41,MATCH(A159,Tracks!$A$2:$A$41,0))),""))</f>
        <v/>
      </c>
      <c r="Q159" s="10" t="str">
        <f aca="false">IF(D159&lt;&gt;"",D159-1,IF(OR(A159="",C159="",N(P159)&lt;=0),"",(N(B159)*60+C159-IFERROR(N(INDEX(Tracks!$G$2:$G$41,MATCH(A159,Tracks!$A$2:$A$41,0))),0))*P159/240))</f>
        <v/>
      </c>
      <c r="R159" s="9" t="str">
        <f aca="false">IF(Q159="","",INT(Q159)+1)</f>
        <v/>
      </c>
      <c r="S159" s="10" t="str">
        <f aca="false">IF(OR(Q159="",D159&lt;&gt;""),"",MIN(4.75,ROUND((Q159-INT(Q159))*16,0)/4+1))</f>
        <v/>
      </c>
      <c r="T159" s="11" t="str">
        <f aca="false">IF(OR(E159="",N(P159)&lt;=0),"",E159*P159/240)</f>
        <v/>
      </c>
      <c r="U159" s="9" t="str">
        <f aca="false">IF(Q159="","",IF(MIN(MOD(Q159,32),32-MOD(Q159,32))&lt;=0.25,32,IF(MIN(MOD(Q159,16),16-MOD(Q159,16))&lt;=0.25,16,IF(MIN(MOD(Q159,8),8-MOD(Q159,8))&lt;=0.25,8,""))))</f>
        <v/>
      </c>
      <c r="V159" s="9" t="str">
        <f aca="false">IF(OR(Q159="",T159=""),"",IF(MIN(MOD((Q159+T159),32),32-MOD((Q159+T159),32))&lt;=0.25,32,IF(MIN(MOD((Q159+T159),16),16-MOD((Q159+T159),16))&lt;=0.25,16,IF(MIN(MOD((Q159+T159),8),8-MOD((Q159+T159),8))&lt;=0.25,8,""))))</f>
        <v/>
      </c>
    </row>
    <row r="160" customFormat="false" ht="1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9" t="str">
        <f aca="false">IF(A160="","",IFERROR(INDEX(Tracks!$E$2:$E$41,MATCH(A160,Tracks!$A$2:$A$41,0)),"?"))</f>
        <v/>
      </c>
      <c r="P160" s="9" t="str">
        <f aca="false">IF(A160="","",IFERROR(N(INDEX(Tracks!$F$2:$F$41,MATCH(A160,Tracks!$A$2:$A$41,0))),""))</f>
        <v/>
      </c>
      <c r="Q160" s="10" t="str">
        <f aca="false">IF(D160&lt;&gt;"",D160-1,IF(OR(A160="",C160="",N(P160)&lt;=0),"",(N(B160)*60+C160-IFERROR(N(INDEX(Tracks!$G$2:$G$41,MATCH(A160,Tracks!$A$2:$A$41,0))),0))*P160/240))</f>
        <v/>
      </c>
      <c r="R160" s="9" t="str">
        <f aca="false">IF(Q160="","",INT(Q160)+1)</f>
        <v/>
      </c>
      <c r="S160" s="10" t="str">
        <f aca="false">IF(OR(Q160="",D160&lt;&gt;""),"",MIN(4.75,ROUND((Q160-INT(Q160))*16,0)/4+1))</f>
        <v/>
      </c>
      <c r="T160" s="11" t="str">
        <f aca="false">IF(OR(E160="",N(P160)&lt;=0),"",E160*P160/240)</f>
        <v/>
      </c>
      <c r="U160" s="9" t="str">
        <f aca="false">IF(Q160="","",IF(MIN(MOD(Q160,32),32-MOD(Q160,32))&lt;=0.25,32,IF(MIN(MOD(Q160,16),16-MOD(Q160,16))&lt;=0.25,16,IF(MIN(MOD(Q160,8),8-MOD(Q160,8))&lt;=0.25,8,""))))</f>
        <v/>
      </c>
      <c r="V160" s="9" t="str">
        <f aca="false">IF(OR(Q160="",T160=""),"",IF(MIN(MOD((Q160+T160),32),32-MOD((Q160+T160),32))&lt;=0.25,32,IF(MIN(MOD((Q160+T160),16),16-MOD((Q160+T160),16))&lt;=0.25,16,IF(MIN(MOD((Q160+T160),8),8-MOD((Q160+T160),8))&lt;=0.25,8,""))))</f>
        <v/>
      </c>
    </row>
    <row r="161" customFormat="false" ht="1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9" t="str">
        <f aca="false">IF(A161="","",IFERROR(INDEX(Tracks!$E$2:$E$41,MATCH(A161,Tracks!$A$2:$A$41,0)),"?"))</f>
        <v/>
      </c>
      <c r="P161" s="9" t="str">
        <f aca="false">IF(A161="","",IFERROR(N(INDEX(Tracks!$F$2:$F$41,MATCH(A161,Tracks!$A$2:$A$41,0))),""))</f>
        <v/>
      </c>
      <c r="Q161" s="10" t="str">
        <f aca="false">IF(D161&lt;&gt;"",D161-1,IF(OR(A161="",C161="",N(P161)&lt;=0),"",(N(B161)*60+C161-IFERROR(N(INDEX(Tracks!$G$2:$G$41,MATCH(A161,Tracks!$A$2:$A$41,0))),0))*P161/240))</f>
        <v/>
      </c>
      <c r="R161" s="9" t="str">
        <f aca="false">IF(Q161="","",INT(Q161)+1)</f>
        <v/>
      </c>
      <c r="S161" s="10" t="str">
        <f aca="false">IF(OR(Q161="",D161&lt;&gt;""),"",MIN(4.75,ROUND((Q161-INT(Q161))*16,0)/4+1))</f>
        <v/>
      </c>
      <c r="T161" s="11" t="str">
        <f aca="false">IF(OR(E161="",N(P161)&lt;=0),"",E161*P161/240)</f>
        <v/>
      </c>
      <c r="U161" s="9" t="str">
        <f aca="false">IF(Q161="","",IF(MIN(MOD(Q161,32),32-MOD(Q161,32))&lt;=0.25,32,IF(MIN(MOD(Q161,16),16-MOD(Q161,16))&lt;=0.25,16,IF(MIN(MOD(Q161,8),8-MOD(Q161,8))&lt;=0.25,8,""))))</f>
        <v/>
      </c>
      <c r="V161" s="9" t="str">
        <f aca="false">IF(OR(Q161="",T161=""),"",IF(MIN(MOD((Q161+T161),32),32-MOD((Q161+T161),32))&lt;=0.25,32,IF(MIN(MOD((Q161+T161),16),16-MOD((Q161+T161),16))&lt;=0.25,16,IF(MIN(MOD((Q161+T161),8),8-MOD((Q161+T161),8))&lt;=0.25,8,""))))</f>
        <v/>
      </c>
    </row>
    <row r="162" customFormat="false" ht="1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9" t="str">
        <f aca="false">IF(A162="","",IFERROR(INDEX(Tracks!$E$2:$E$41,MATCH(A162,Tracks!$A$2:$A$41,0)),"?"))</f>
        <v/>
      </c>
      <c r="P162" s="9" t="str">
        <f aca="false">IF(A162="","",IFERROR(N(INDEX(Tracks!$F$2:$F$41,MATCH(A162,Tracks!$A$2:$A$41,0))),""))</f>
        <v/>
      </c>
      <c r="Q162" s="10" t="str">
        <f aca="false">IF(D162&lt;&gt;"",D162-1,IF(OR(A162="",C162="",N(P162)&lt;=0),"",(N(B162)*60+C162-IFERROR(N(INDEX(Tracks!$G$2:$G$41,MATCH(A162,Tracks!$A$2:$A$41,0))),0))*P162/240))</f>
        <v/>
      </c>
      <c r="R162" s="9" t="str">
        <f aca="false">IF(Q162="","",INT(Q162)+1)</f>
        <v/>
      </c>
      <c r="S162" s="10" t="str">
        <f aca="false">IF(OR(Q162="",D162&lt;&gt;""),"",MIN(4.75,ROUND((Q162-INT(Q162))*16,0)/4+1))</f>
        <v/>
      </c>
      <c r="T162" s="11" t="str">
        <f aca="false">IF(OR(E162="",N(P162)&lt;=0),"",E162*P162/240)</f>
        <v/>
      </c>
      <c r="U162" s="9" t="str">
        <f aca="false">IF(Q162="","",IF(MIN(MOD(Q162,32),32-MOD(Q162,32))&lt;=0.25,32,IF(MIN(MOD(Q162,16),16-MOD(Q162,16))&lt;=0.25,16,IF(MIN(MOD(Q162,8),8-MOD(Q162,8))&lt;=0.25,8,""))))</f>
        <v/>
      </c>
      <c r="V162" s="9" t="str">
        <f aca="false">IF(OR(Q162="",T162=""),"",IF(MIN(MOD((Q162+T162),32),32-MOD((Q162+T162),32))&lt;=0.25,32,IF(MIN(MOD((Q162+T162),16),16-MOD((Q162+T162),16))&lt;=0.25,16,IF(MIN(MOD((Q162+T162),8),8-MOD((Q162+T162),8))&lt;=0.25,8,""))))</f>
        <v/>
      </c>
    </row>
    <row r="163" customFormat="false" ht="1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9" t="str">
        <f aca="false">IF(A163="","",IFERROR(INDEX(Tracks!$E$2:$E$41,MATCH(A163,Tracks!$A$2:$A$41,0)),"?"))</f>
        <v/>
      </c>
      <c r="P163" s="9" t="str">
        <f aca="false">IF(A163="","",IFERROR(N(INDEX(Tracks!$F$2:$F$41,MATCH(A163,Tracks!$A$2:$A$41,0))),""))</f>
        <v/>
      </c>
      <c r="Q163" s="10" t="str">
        <f aca="false">IF(D163&lt;&gt;"",D163-1,IF(OR(A163="",C163="",N(P163)&lt;=0),"",(N(B163)*60+C163-IFERROR(N(INDEX(Tracks!$G$2:$G$41,MATCH(A163,Tracks!$A$2:$A$41,0))),0))*P163/240))</f>
        <v/>
      </c>
      <c r="R163" s="9" t="str">
        <f aca="false">IF(Q163="","",INT(Q163)+1)</f>
        <v/>
      </c>
      <c r="S163" s="10" t="str">
        <f aca="false">IF(OR(Q163="",D163&lt;&gt;""),"",MIN(4.75,ROUND((Q163-INT(Q163))*16,0)/4+1))</f>
        <v/>
      </c>
      <c r="T163" s="11" t="str">
        <f aca="false">IF(OR(E163="",N(P163)&lt;=0),"",E163*P163/240)</f>
        <v/>
      </c>
      <c r="U163" s="9" t="str">
        <f aca="false">IF(Q163="","",IF(MIN(MOD(Q163,32),32-MOD(Q163,32))&lt;=0.25,32,IF(MIN(MOD(Q163,16),16-MOD(Q163,16))&lt;=0.25,16,IF(MIN(MOD(Q163,8),8-MOD(Q163,8))&lt;=0.25,8,""))))</f>
        <v/>
      </c>
      <c r="V163" s="9" t="str">
        <f aca="false">IF(OR(Q163="",T163=""),"",IF(MIN(MOD((Q163+T163),32),32-MOD((Q163+T163),32))&lt;=0.25,32,IF(MIN(MOD((Q163+T163),16),16-MOD((Q163+T163),16))&lt;=0.25,16,IF(MIN(MOD((Q163+T163),8),8-MOD((Q163+T163),8))&lt;=0.25,8,""))))</f>
        <v/>
      </c>
    </row>
    <row r="164" customFormat="false" ht="1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9" t="str">
        <f aca="false">IF(A164="","",IFERROR(INDEX(Tracks!$E$2:$E$41,MATCH(A164,Tracks!$A$2:$A$41,0)),"?"))</f>
        <v/>
      </c>
      <c r="P164" s="9" t="str">
        <f aca="false">IF(A164="","",IFERROR(N(INDEX(Tracks!$F$2:$F$41,MATCH(A164,Tracks!$A$2:$A$41,0))),""))</f>
        <v/>
      </c>
      <c r="Q164" s="10" t="str">
        <f aca="false">IF(D164&lt;&gt;"",D164-1,IF(OR(A164="",C164="",N(P164)&lt;=0),"",(N(B164)*60+C164-IFERROR(N(INDEX(Tracks!$G$2:$G$41,MATCH(A164,Tracks!$A$2:$A$41,0))),0))*P164/240))</f>
        <v/>
      </c>
      <c r="R164" s="9" t="str">
        <f aca="false">IF(Q164="","",INT(Q164)+1)</f>
        <v/>
      </c>
      <c r="S164" s="10" t="str">
        <f aca="false">IF(OR(Q164="",D164&lt;&gt;""),"",MIN(4.75,ROUND((Q164-INT(Q164))*16,0)/4+1))</f>
        <v/>
      </c>
      <c r="T164" s="11" t="str">
        <f aca="false">IF(OR(E164="",N(P164)&lt;=0),"",E164*P164/240)</f>
        <v/>
      </c>
      <c r="U164" s="9" t="str">
        <f aca="false">IF(Q164="","",IF(MIN(MOD(Q164,32),32-MOD(Q164,32))&lt;=0.25,32,IF(MIN(MOD(Q164,16),16-MOD(Q164,16))&lt;=0.25,16,IF(MIN(MOD(Q164,8),8-MOD(Q164,8))&lt;=0.25,8,""))))</f>
        <v/>
      </c>
      <c r="V164" s="9" t="str">
        <f aca="false">IF(OR(Q164="",T164=""),"",IF(MIN(MOD((Q164+T164),32),32-MOD((Q164+T164),32))&lt;=0.25,32,IF(MIN(MOD((Q164+T164),16),16-MOD((Q164+T164),16))&lt;=0.25,16,IF(MIN(MOD((Q164+T164),8),8-MOD((Q164+T164),8))&lt;=0.25,8,""))))</f>
        <v/>
      </c>
    </row>
    <row r="165" customFormat="false" ht="1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9" t="str">
        <f aca="false">IF(A165="","",IFERROR(INDEX(Tracks!$E$2:$E$41,MATCH(A165,Tracks!$A$2:$A$41,0)),"?"))</f>
        <v/>
      </c>
      <c r="P165" s="9" t="str">
        <f aca="false">IF(A165="","",IFERROR(N(INDEX(Tracks!$F$2:$F$41,MATCH(A165,Tracks!$A$2:$A$41,0))),""))</f>
        <v/>
      </c>
      <c r="Q165" s="10" t="str">
        <f aca="false">IF(D165&lt;&gt;"",D165-1,IF(OR(A165="",C165="",N(P165)&lt;=0),"",(N(B165)*60+C165-IFERROR(N(INDEX(Tracks!$G$2:$G$41,MATCH(A165,Tracks!$A$2:$A$41,0))),0))*P165/240))</f>
        <v/>
      </c>
      <c r="R165" s="9" t="str">
        <f aca="false">IF(Q165="","",INT(Q165)+1)</f>
        <v/>
      </c>
      <c r="S165" s="10" t="str">
        <f aca="false">IF(OR(Q165="",D165&lt;&gt;""),"",MIN(4.75,ROUND((Q165-INT(Q165))*16,0)/4+1))</f>
        <v/>
      </c>
      <c r="T165" s="11" t="str">
        <f aca="false">IF(OR(E165="",N(P165)&lt;=0),"",E165*P165/240)</f>
        <v/>
      </c>
      <c r="U165" s="9" t="str">
        <f aca="false">IF(Q165="","",IF(MIN(MOD(Q165,32),32-MOD(Q165,32))&lt;=0.25,32,IF(MIN(MOD(Q165,16),16-MOD(Q165,16))&lt;=0.25,16,IF(MIN(MOD(Q165,8),8-MOD(Q165,8))&lt;=0.25,8,""))))</f>
        <v/>
      </c>
      <c r="V165" s="9" t="str">
        <f aca="false">IF(OR(Q165="",T165=""),"",IF(MIN(MOD((Q165+T165),32),32-MOD((Q165+T165),32))&lt;=0.25,32,IF(MIN(MOD((Q165+T165),16),16-MOD((Q165+T165),16))&lt;=0.25,16,IF(MIN(MOD((Q165+T165),8),8-MOD((Q165+T165),8))&lt;=0.25,8,""))))</f>
        <v/>
      </c>
    </row>
    <row r="166" customFormat="false" ht="1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9" t="str">
        <f aca="false">IF(A166="","",IFERROR(INDEX(Tracks!$E$2:$E$41,MATCH(A166,Tracks!$A$2:$A$41,0)),"?"))</f>
        <v/>
      </c>
      <c r="P166" s="9" t="str">
        <f aca="false">IF(A166="","",IFERROR(N(INDEX(Tracks!$F$2:$F$41,MATCH(A166,Tracks!$A$2:$A$41,0))),""))</f>
        <v/>
      </c>
      <c r="Q166" s="10" t="str">
        <f aca="false">IF(D166&lt;&gt;"",D166-1,IF(OR(A166="",C166="",N(P166)&lt;=0),"",(N(B166)*60+C166-IFERROR(N(INDEX(Tracks!$G$2:$G$41,MATCH(A166,Tracks!$A$2:$A$41,0))),0))*P166/240))</f>
        <v/>
      </c>
      <c r="R166" s="9" t="str">
        <f aca="false">IF(Q166="","",INT(Q166)+1)</f>
        <v/>
      </c>
      <c r="S166" s="10" t="str">
        <f aca="false">IF(OR(Q166="",D166&lt;&gt;""),"",MIN(4.75,ROUND((Q166-INT(Q166))*16,0)/4+1))</f>
        <v/>
      </c>
      <c r="T166" s="11" t="str">
        <f aca="false">IF(OR(E166="",N(P166)&lt;=0),"",E166*P166/240)</f>
        <v/>
      </c>
      <c r="U166" s="9" t="str">
        <f aca="false">IF(Q166="","",IF(MIN(MOD(Q166,32),32-MOD(Q166,32))&lt;=0.25,32,IF(MIN(MOD(Q166,16),16-MOD(Q166,16))&lt;=0.25,16,IF(MIN(MOD(Q166,8),8-MOD(Q166,8))&lt;=0.25,8,""))))</f>
        <v/>
      </c>
      <c r="V166" s="9" t="str">
        <f aca="false">IF(OR(Q166="",T166=""),"",IF(MIN(MOD((Q166+T166),32),32-MOD((Q166+T166),32))&lt;=0.25,32,IF(MIN(MOD((Q166+T166),16),16-MOD((Q166+T166),16))&lt;=0.25,16,IF(MIN(MOD((Q166+T166),8),8-MOD((Q166+T166),8))&lt;=0.25,8,""))))</f>
        <v/>
      </c>
    </row>
    <row r="167" customFormat="false" ht="1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9" t="str">
        <f aca="false">IF(A167="","",IFERROR(INDEX(Tracks!$E$2:$E$41,MATCH(A167,Tracks!$A$2:$A$41,0)),"?"))</f>
        <v/>
      </c>
      <c r="P167" s="9" t="str">
        <f aca="false">IF(A167="","",IFERROR(N(INDEX(Tracks!$F$2:$F$41,MATCH(A167,Tracks!$A$2:$A$41,0))),""))</f>
        <v/>
      </c>
      <c r="Q167" s="10" t="str">
        <f aca="false">IF(D167&lt;&gt;"",D167-1,IF(OR(A167="",C167="",N(P167)&lt;=0),"",(N(B167)*60+C167-IFERROR(N(INDEX(Tracks!$G$2:$G$41,MATCH(A167,Tracks!$A$2:$A$41,0))),0))*P167/240))</f>
        <v/>
      </c>
      <c r="R167" s="9" t="str">
        <f aca="false">IF(Q167="","",INT(Q167)+1)</f>
        <v/>
      </c>
      <c r="S167" s="10" t="str">
        <f aca="false">IF(OR(Q167="",D167&lt;&gt;""),"",MIN(4.75,ROUND((Q167-INT(Q167))*16,0)/4+1))</f>
        <v/>
      </c>
      <c r="T167" s="11" t="str">
        <f aca="false">IF(OR(E167="",N(P167)&lt;=0),"",E167*P167/240)</f>
        <v/>
      </c>
      <c r="U167" s="9" t="str">
        <f aca="false">IF(Q167="","",IF(MIN(MOD(Q167,32),32-MOD(Q167,32))&lt;=0.25,32,IF(MIN(MOD(Q167,16),16-MOD(Q167,16))&lt;=0.25,16,IF(MIN(MOD(Q167,8),8-MOD(Q167,8))&lt;=0.25,8,""))))</f>
        <v/>
      </c>
      <c r="V167" s="9" t="str">
        <f aca="false">IF(OR(Q167="",T167=""),"",IF(MIN(MOD((Q167+T167),32),32-MOD((Q167+T167),32))&lt;=0.25,32,IF(MIN(MOD((Q167+T167),16),16-MOD((Q167+T167),16))&lt;=0.25,16,IF(MIN(MOD((Q167+T167),8),8-MOD((Q167+T167),8))&lt;=0.25,8,""))))</f>
        <v/>
      </c>
    </row>
    <row r="168" customFormat="false" ht="1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9" t="str">
        <f aca="false">IF(A168="","",IFERROR(INDEX(Tracks!$E$2:$E$41,MATCH(A168,Tracks!$A$2:$A$41,0)),"?"))</f>
        <v/>
      </c>
      <c r="P168" s="9" t="str">
        <f aca="false">IF(A168="","",IFERROR(N(INDEX(Tracks!$F$2:$F$41,MATCH(A168,Tracks!$A$2:$A$41,0))),""))</f>
        <v/>
      </c>
      <c r="Q168" s="10" t="str">
        <f aca="false">IF(D168&lt;&gt;"",D168-1,IF(OR(A168="",C168="",N(P168)&lt;=0),"",(N(B168)*60+C168-IFERROR(N(INDEX(Tracks!$G$2:$G$41,MATCH(A168,Tracks!$A$2:$A$41,0))),0))*P168/240))</f>
        <v/>
      </c>
      <c r="R168" s="9" t="str">
        <f aca="false">IF(Q168="","",INT(Q168)+1)</f>
        <v/>
      </c>
      <c r="S168" s="10" t="str">
        <f aca="false">IF(OR(Q168="",D168&lt;&gt;""),"",MIN(4.75,ROUND((Q168-INT(Q168))*16,0)/4+1))</f>
        <v/>
      </c>
      <c r="T168" s="11" t="str">
        <f aca="false">IF(OR(E168="",N(P168)&lt;=0),"",E168*P168/240)</f>
        <v/>
      </c>
      <c r="U168" s="9" t="str">
        <f aca="false">IF(Q168="","",IF(MIN(MOD(Q168,32),32-MOD(Q168,32))&lt;=0.25,32,IF(MIN(MOD(Q168,16),16-MOD(Q168,16))&lt;=0.25,16,IF(MIN(MOD(Q168,8),8-MOD(Q168,8))&lt;=0.25,8,""))))</f>
        <v/>
      </c>
      <c r="V168" s="9" t="str">
        <f aca="false">IF(OR(Q168="",T168=""),"",IF(MIN(MOD((Q168+T168),32),32-MOD((Q168+T168),32))&lt;=0.25,32,IF(MIN(MOD((Q168+T168),16),16-MOD((Q168+T168),16))&lt;=0.25,16,IF(MIN(MOD((Q168+T168),8),8-MOD((Q168+T168),8))&lt;=0.25,8,""))))</f>
        <v/>
      </c>
    </row>
    <row r="169" customFormat="false" ht="1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9" t="str">
        <f aca="false">IF(A169="","",IFERROR(INDEX(Tracks!$E$2:$E$41,MATCH(A169,Tracks!$A$2:$A$41,0)),"?"))</f>
        <v/>
      </c>
      <c r="P169" s="9" t="str">
        <f aca="false">IF(A169="","",IFERROR(N(INDEX(Tracks!$F$2:$F$41,MATCH(A169,Tracks!$A$2:$A$41,0))),""))</f>
        <v/>
      </c>
      <c r="Q169" s="10" t="str">
        <f aca="false">IF(D169&lt;&gt;"",D169-1,IF(OR(A169="",C169="",N(P169)&lt;=0),"",(N(B169)*60+C169-IFERROR(N(INDEX(Tracks!$G$2:$G$41,MATCH(A169,Tracks!$A$2:$A$41,0))),0))*P169/240))</f>
        <v/>
      </c>
      <c r="R169" s="9" t="str">
        <f aca="false">IF(Q169="","",INT(Q169)+1)</f>
        <v/>
      </c>
      <c r="S169" s="10" t="str">
        <f aca="false">IF(OR(Q169="",D169&lt;&gt;""),"",MIN(4.75,ROUND((Q169-INT(Q169))*16,0)/4+1))</f>
        <v/>
      </c>
      <c r="T169" s="11" t="str">
        <f aca="false">IF(OR(E169="",N(P169)&lt;=0),"",E169*P169/240)</f>
        <v/>
      </c>
      <c r="U169" s="9" t="str">
        <f aca="false">IF(Q169="","",IF(MIN(MOD(Q169,32),32-MOD(Q169,32))&lt;=0.25,32,IF(MIN(MOD(Q169,16),16-MOD(Q169,16))&lt;=0.25,16,IF(MIN(MOD(Q169,8),8-MOD(Q169,8))&lt;=0.25,8,""))))</f>
        <v/>
      </c>
      <c r="V169" s="9" t="str">
        <f aca="false">IF(OR(Q169="",T169=""),"",IF(MIN(MOD((Q169+T169),32),32-MOD((Q169+T169),32))&lt;=0.25,32,IF(MIN(MOD((Q169+T169),16),16-MOD((Q169+T169),16))&lt;=0.25,16,IF(MIN(MOD((Q169+T169),8),8-MOD((Q169+T169),8))&lt;=0.25,8,""))))</f>
        <v/>
      </c>
    </row>
    <row r="170" customFormat="false" ht="1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9" t="str">
        <f aca="false">IF(A170="","",IFERROR(INDEX(Tracks!$E$2:$E$41,MATCH(A170,Tracks!$A$2:$A$41,0)),"?"))</f>
        <v/>
      </c>
      <c r="P170" s="9" t="str">
        <f aca="false">IF(A170="","",IFERROR(N(INDEX(Tracks!$F$2:$F$41,MATCH(A170,Tracks!$A$2:$A$41,0))),""))</f>
        <v/>
      </c>
      <c r="Q170" s="10" t="str">
        <f aca="false">IF(D170&lt;&gt;"",D170-1,IF(OR(A170="",C170="",N(P170)&lt;=0),"",(N(B170)*60+C170-IFERROR(N(INDEX(Tracks!$G$2:$G$41,MATCH(A170,Tracks!$A$2:$A$41,0))),0))*P170/240))</f>
        <v/>
      </c>
      <c r="R170" s="9" t="str">
        <f aca="false">IF(Q170="","",INT(Q170)+1)</f>
        <v/>
      </c>
      <c r="S170" s="10" t="str">
        <f aca="false">IF(OR(Q170="",D170&lt;&gt;""),"",MIN(4.75,ROUND((Q170-INT(Q170))*16,0)/4+1))</f>
        <v/>
      </c>
      <c r="T170" s="11" t="str">
        <f aca="false">IF(OR(E170="",N(P170)&lt;=0),"",E170*P170/240)</f>
        <v/>
      </c>
      <c r="U170" s="9" t="str">
        <f aca="false">IF(Q170="","",IF(MIN(MOD(Q170,32),32-MOD(Q170,32))&lt;=0.25,32,IF(MIN(MOD(Q170,16),16-MOD(Q170,16))&lt;=0.25,16,IF(MIN(MOD(Q170,8),8-MOD(Q170,8))&lt;=0.25,8,""))))</f>
        <v/>
      </c>
      <c r="V170" s="9" t="str">
        <f aca="false">IF(OR(Q170="",T170=""),"",IF(MIN(MOD((Q170+T170),32),32-MOD((Q170+T170),32))&lt;=0.25,32,IF(MIN(MOD((Q170+T170),16),16-MOD((Q170+T170),16))&lt;=0.25,16,IF(MIN(MOD((Q170+T170),8),8-MOD((Q170+T170),8))&lt;=0.25,8,""))))</f>
        <v/>
      </c>
    </row>
    <row r="171" customFormat="false" ht="1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9" t="str">
        <f aca="false">IF(A171="","",IFERROR(INDEX(Tracks!$E$2:$E$41,MATCH(A171,Tracks!$A$2:$A$41,0)),"?"))</f>
        <v/>
      </c>
      <c r="P171" s="9" t="str">
        <f aca="false">IF(A171="","",IFERROR(N(INDEX(Tracks!$F$2:$F$41,MATCH(A171,Tracks!$A$2:$A$41,0))),""))</f>
        <v/>
      </c>
      <c r="Q171" s="10" t="str">
        <f aca="false">IF(D171&lt;&gt;"",D171-1,IF(OR(A171="",C171="",N(P171)&lt;=0),"",(N(B171)*60+C171-IFERROR(N(INDEX(Tracks!$G$2:$G$41,MATCH(A171,Tracks!$A$2:$A$41,0))),0))*P171/240))</f>
        <v/>
      </c>
      <c r="R171" s="9" t="str">
        <f aca="false">IF(Q171="","",INT(Q171)+1)</f>
        <v/>
      </c>
      <c r="S171" s="10" t="str">
        <f aca="false">IF(OR(Q171="",D171&lt;&gt;""),"",MIN(4.75,ROUND((Q171-INT(Q171))*16,0)/4+1))</f>
        <v/>
      </c>
      <c r="T171" s="11" t="str">
        <f aca="false">IF(OR(E171="",N(P171)&lt;=0),"",E171*P171/240)</f>
        <v/>
      </c>
      <c r="U171" s="9" t="str">
        <f aca="false">IF(Q171="","",IF(MIN(MOD(Q171,32),32-MOD(Q171,32))&lt;=0.25,32,IF(MIN(MOD(Q171,16),16-MOD(Q171,16))&lt;=0.25,16,IF(MIN(MOD(Q171,8),8-MOD(Q171,8))&lt;=0.25,8,""))))</f>
        <v/>
      </c>
      <c r="V171" s="9" t="str">
        <f aca="false">IF(OR(Q171="",T171=""),"",IF(MIN(MOD((Q171+T171),32),32-MOD((Q171+T171),32))&lt;=0.25,32,IF(MIN(MOD((Q171+T171),16),16-MOD((Q171+T171),16))&lt;=0.25,16,IF(MIN(MOD((Q171+T171),8),8-MOD((Q171+T171),8))&lt;=0.25,8,""))))</f>
        <v/>
      </c>
    </row>
    <row r="172" customFormat="false" ht="1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9" t="str">
        <f aca="false">IF(A172="","",IFERROR(INDEX(Tracks!$E$2:$E$41,MATCH(A172,Tracks!$A$2:$A$41,0)),"?"))</f>
        <v/>
      </c>
      <c r="P172" s="9" t="str">
        <f aca="false">IF(A172="","",IFERROR(N(INDEX(Tracks!$F$2:$F$41,MATCH(A172,Tracks!$A$2:$A$41,0))),""))</f>
        <v/>
      </c>
      <c r="Q172" s="10" t="str">
        <f aca="false">IF(D172&lt;&gt;"",D172-1,IF(OR(A172="",C172="",N(P172)&lt;=0),"",(N(B172)*60+C172-IFERROR(N(INDEX(Tracks!$G$2:$G$41,MATCH(A172,Tracks!$A$2:$A$41,0))),0))*P172/240))</f>
        <v/>
      </c>
      <c r="R172" s="9" t="str">
        <f aca="false">IF(Q172="","",INT(Q172)+1)</f>
        <v/>
      </c>
      <c r="S172" s="10" t="str">
        <f aca="false">IF(OR(Q172="",D172&lt;&gt;""),"",MIN(4.75,ROUND((Q172-INT(Q172))*16,0)/4+1))</f>
        <v/>
      </c>
      <c r="T172" s="11" t="str">
        <f aca="false">IF(OR(E172="",N(P172)&lt;=0),"",E172*P172/240)</f>
        <v/>
      </c>
      <c r="U172" s="9" t="str">
        <f aca="false">IF(Q172="","",IF(MIN(MOD(Q172,32),32-MOD(Q172,32))&lt;=0.25,32,IF(MIN(MOD(Q172,16),16-MOD(Q172,16))&lt;=0.25,16,IF(MIN(MOD(Q172,8),8-MOD(Q172,8))&lt;=0.25,8,""))))</f>
        <v/>
      </c>
      <c r="V172" s="9" t="str">
        <f aca="false">IF(OR(Q172="",T172=""),"",IF(MIN(MOD((Q172+T172),32),32-MOD((Q172+T172),32))&lt;=0.25,32,IF(MIN(MOD((Q172+T172),16),16-MOD((Q172+T172),16))&lt;=0.25,16,IF(MIN(MOD((Q172+T172),8),8-MOD((Q172+T172),8))&lt;=0.25,8,""))))</f>
        <v/>
      </c>
    </row>
    <row r="173" customFormat="false" ht="1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9" t="str">
        <f aca="false">IF(A173="","",IFERROR(INDEX(Tracks!$E$2:$E$41,MATCH(A173,Tracks!$A$2:$A$41,0)),"?"))</f>
        <v/>
      </c>
      <c r="P173" s="9" t="str">
        <f aca="false">IF(A173="","",IFERROR(N(INDEX(Tracks!$F$2:$F$41,MATCH(A173,Tracks!$A$2:$A$41,0))),""))</f>
        <v/>
      </c>
      <c r="Q173" s="10" t="str">
        <f aca="false">IF(D173&lt;&gt;"",D173-1,IF(OR(A173="",C173="",N(P173)&lt;=0),"",(N(B173)*60+C173-IFERROR(N(INDEX(Tracks!$G$2:$G$41,MATCH(A173,Tracks!$A$2:$A$41,0))),0))*P173/240))</f>
        <v/>
      </c>
      <c r="R173" s="9" t="str">
        <f aca="false">IF(Q173="","",INT(Q173)+1)</f>
        <v/>
      </c>
      <c r="S173" s="10" t="str">
        <f aca="false">IF(OR(Q173="",D173&lt;&gt;""),"",MIN(4.75,ROUND((Q173-INT(Q173))*16,0)/4+1))</f>
        <v/>
      </c>
      <c r="T173" s="11" t="str">
        <f aca="false">IF(OR(E173="",N(P173)&lt;=0),"",E173*P173/240)</f>
        <v/>
      </c>
      <c r="U173" s="9" t="str">
        <f aca="false">IF(Q173="","",IF(MIN(MOD(Q173,32),32-MOD(Q173,32))&lt;=0.25,32,IF(MIN(MOD(Q173,16),16-MOD(Q173,16))&lt;=0.25,16,IF(MIN(MOD(Q173,8),8-MOD(Q173,8))&lt;=0.25,8,""))))</f>
        <v/>
      </c>
      <c r="V173" s="9" t="str">
        <f aca="false">IF(OR(Q173="",T173=""),"",IF(MIN(MOD((Q173+T173),32),32-MOD((Q173+T173),32))&lt;=0.25,32,IF(MIN(MOD((Q173+T173),16),16-MOD((Q173+T173),16))&lt;=0.25,16,IF(MIN(MOD((Q173+T173),8),8-MOD((Q173+T173),8))&lt;=0.25,8,""))))</f>
        <v/>
      </c>
    </row>
    <row r="174" customFormat="false" ht="1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9" t="str">
        <f aca="false">IF(A174="","",IFERROR(INDEX(Tracks!$E$2:$E$41,MATCH(A174,Tracks!$A$2:$A$41,0)),"?"))</f>
        <v/>
      </c>
      <c r="P174" s="9" t="str">
        <f aca="false">IF(A174="","",IFERROR(N(INDEX(Tracks!$F$2:$F$41,MATCH(A174,Tracks!$A$2:$A$41,0))),""))</f>
        <v/>
      </c>
      <c r="Q174" s="10" t="str">
        <f aca="false">IF(D174&lt;&gt;"",D174-1,IF(OR(A174="",C174="",N(P174)&lt;=0),"",(N(B174)*60+C174-IFERROR(N(INDEX(Tracks!$G$2:$G$41,MATCH(A174,Tracks!$A$2:$A$41,0))),0))*P174/240))</f>
        <v/>
      </c>
      <c r="R174" s="9" t="str">
        <f aca="false">IF(Q174="","",INT(Q174)+1)</f>
        <v/>
      </c>
      <c r="S174" s="10" t="str">
        <f aca="false">IF(OR(Q174="",D174&lt;&gt;""),"",MIN(4.75,ROUND((Q174-INT(Q174))*16,0)/4+1))</f>
        <v/>
      </c>
      <c r="T174" s="11" t="str">
        <f aca="false">IF(OR(E174="",N(P174)&lt;=0),"",E174*P174/240)</f>
        <v/>
      </c>
      <c r="U174" s="9" t="str">
        <f aca="false">IF(Q174="","",IF(MIN(MOD(Q174,32),32-MOD(Q174,32))&lt;=0.25,32,IF(MIN(MOD(Q174,16),16-MOD(Q174,16))&lt;=0.25,16,IF(MIN(MOD(Q174,8),8-MOD(Q174,8))&lt;=0.25,8,""))))</f>
        <v/>
      </c>
      <c r="V174" s="9" t="str">
        <f aca="false">IF(OR(Q174="",T174=""),"",IF(MIN(MOD((Q174+T174),32),32-MOD((Q174+T174),32))&lt;=0.25,32,IF(MIN(MOD((Q174+T174),16),16-MOD((Q174+T174),16))&lt;=0.25,16,IF(MIN(MOD((Q174+T174),8),8-MOD((Q174+T174),8))&lt;=0.25,8,""))))</f>
        <v/>
      </c>
    </row>
    <row r="175" customFormat="false" ht="1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9" t="str">
        <f aca="false">IF(A175="","",IFERROR(INDEX(Tracks!$E$2:$E$41,MATCH(A175,Tracks!$A$2:$A$41,0)),"?"))</f>
        <v/>
      </c>
      <c r="P175" s="9" t="str">
        <f aca="false">IF(A175="","",IFERROR(N(INDEX(Tracks!$F$2:$F$41,MATCH(A175,Tracks!$A$2:$A$41,0))),""))</f>
        <v/>
      </c>
      <c r="Q175" s="10" t="str">
        <f aca="false">IF(D175&lt;&gt;"",D175-1,IF(OR(A175="",C175="",N(P175)&lt;=0),"",(N(B175)*60+C175-IFERROR(N(INDEX(Tracks!$G$2:$G$41,MATCH(A175,Tracks!$A$2:$A$41,0))),0))*P175/240))</f>
        <v/>
      </c>
      <c r="R175" s="9" t="str">
        <f aca="false">IF(Q175="","",INT(Q175)+1)</f>
        <v/>
      </c>
      <c r="S175" s="10" t="str">
        <f aca="false">IF(OR(Q175="",D175&lt;&gt;""),"",MIN(4.75,ROUND((Q175-INT(Q175))*16,0)/4+1))</f>
        <v/>
      </c>
      <c r="T175" s="11" t="str">
        <f aca="false">IF(OR(E175="",N(P175)&lt;=0),"",E175*P175/240)</f>
        <v/>
      </c>
      <c r="U175" s="9" t="str">
        <f aca="false">IF(Q175="","",IF(MIN(MOD(Q175,32),32-MOD(Q175,32))&lt;=0.25,32,IF(MIN(MOD(Q175,16),16-MOD(Q175,16))&lt;=0.25,16,IF(MIN(MOD(Q175,8),8-MOD(Q175,8))&lt;=0.25,8,""))))</f>
        <v/>
      </c>
      <c r="V175" s="9" t="str">
        <f aca="false">IF(OR(Q175="",T175=""),"",IF(MIN(MOD((Q175+T175),32),32-MOD((Q175+T175),32))&lt;=0.25,32,IF(MIN(MOD((Q175+T175),16),16-MOD((Q175+T175),16))&lt;=0.25,16,IF(MIN(MOD((Q175+T175),8),8-MOD((Q175+T175),8))&lt;=0.25,8,""))))</f>
        <v/>
      </c>
    </row>
    <row r="176" customFormat="false" ht="1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9" t="str">
        <f aca="false">IF(A176="","",IFERROR(INDEX(Tracks!$E$2:$E$41,MATCH(A176,Tracks!$A$2:$A$41,0)),"?"))</f>
        <v/>
      </c>
      <c r="P176" s="9" t="str">
        <f aca="false">IF(A176="","",IFERROR(N(INDEX(Tracks!$F$2:$F$41,MATCH(A176,Tracks!$A$2:$A$41,0))),""))</f>
        <v/>
      </c>
      <c r="Q176" s="10" t="str">
        <f aca="false">IF(D176&lt;&gt;"",D176-1,IF(OR(A176="",C176="",N(P176)&lt;=0),"",(N(B176)*60+C176-IFERROR(N(INDEX(Tracks!$G$2:$G$41,MATCH(A176,Tracks!$A$2:$A$41,0))),0))*P176/240))</f>
        <v/>
      </c>
      <c r="R176" s="9" t="str">
        <f aca="false">IF(Q176="","",INT(Q176)+1)</f>
        <v/>
      </c>
      <c r="S176" s="10" t="str">
        <f aca="false">IF(OR(Q176="",D176&lt;&gt;""),"",MIN(4.75,ROUND((Q176-INT(Q176))*16,0)/4+1))</f>
        <v/>
      </c>
      <c r="T176" s="11" t="str">
        <f aca="false">IF(OR(E176="",N(P176)&lt;=0),"",E176*P176/240)</f>
        <v/>
      </c>
      <c r="U176" s="9" t="str">
        <f aca="false">IF(Q176="","",IF(MIN(MOD(Q176,32),32-MOD(Q176,32))&lt;=0.25,32,IF(MIN(MOD(Q176,16),16-MOD(Q176,16))&lt;=0.25,16,IF(MIN(MOD(Q176,8),8-MOD(Q176,8))&lt;=0.25,8,""))))</f>
        <v/>
      </c>
      <c r="V176" s="9" t="str">
        <f aca="false">IF(OR(Q176="",T176=""),"",IF(MIN(MOD((Q176+T176),32),32-MOD((Q176+T176),32))&lt;=0.25,32,IF(MIN(MOD((Q176+T176),16),16-MOD((Q176+T176),16))&lt;=0.25,16,IF(MIN(MOD((Q176+T176),8),8-MOD((Q176+T176),8))&lt;=0.25,8,""))))</f>
        <v/>
      </c>
    </row>
    <row r="177" customFormat="false" ht="1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9" t="str">
        <f aca="false">IF(A177="","",IFERROR(INDEX(Tracks!$E$2:$E$41,MATCH(A177,Tracks!$A$2:$A$41,0)),"?"))</f>
        <v/>
      </c>
      <c r="P177" s="9" t="str">
        <f aca="false">IF(A177="","",IFERROR(N(INDEX(Tracks!$F$2:$F$41,MATCH(A177,Tracks!$A$2:$A$41,0))),""))</f>
        <v/>
      </c>
      <c r="Q177" s="10" t="str">
        <f aca="false">IF(D177&lt;&gt;"",D177-1,IF(OR(A177="",C177="",N(P177)&lt;=0),"",(N(B177)*60+C177-IFERROR(N(INDEX(Tracks!$G$2:$G$41,MATCH(A177,Tracks!$A$2:$A$41,0))),0))*P177/240))</f>
        <v/>
      </c>
      <c r="R177" s="9" t="str">
        <f aca="false">IF(Q177="","",INT(Q177)+1)</f>
        <v/>
      </c>
      <c r="S177" s="10" t="str">
        <f aca="false">IF(OR(Q177="",D177&lt;&gt;""),"",MIN(4.75,ROUND((Q177-INT(Q177))*16,0)/4+1))</f>
        <v/>
      </c>
      <c r="T177" s="11" t="str">
        <f aca="false">IF(OR(E177="",N(P177)&lt;=0),"",E177*P177/240)</f>
        <v/>
      </c>
      <c r="U177" s="9" t="str">
        <f aca="false">IF(Q177="","",IF(MIN(MOD(Q177,32),32-MOD(Q177,32))&lt;=0.25,32,IF(MIN(MOD(Q177,16),16-MOD(Q177,16))&lt;=0.25,16,IF(MIN(MOD(Q177,8),8-MOD(Q177,8))&lt;=0.25,8,""))))</f>
        <v/>
      </c>
      <c r="V177" s="9" t="str">
        <f aca="false">IF(OR(Q177="",T177=""),"",IF(MIN(MOD((Q177+T177),32),32-MOD((Q177+T177),32))&lt;=0.25,32,IF(MIN(MOD((Q177+T177),16),16-MOD((Q177+T177),16))&lt;=0.25,16,IF(MIN(MOD((Q177+T177),8),8-MOD((Q177+T177),8))&lt;=0.25,8,""))))</f>
        <v/>
      </c>
    </row>
    <row r="178" customFormat="false" ht="1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9" t="str">
        <f aca="false">IF(A178="","",IFERROR(INDEX(Tracks!$E$2:$E$41,MATCH(A178,Tracks!$A$2:$A$41,0)),"?"))</f>
        <v/>
      </c>
      <c r="P178" s="9" t="str">
        <f aca="false">IF(A178="","",IFERROR(N(INDEX(Tracks!$F$2:$F$41,MATCH(A178,Tracks!$A$2:$A$41,0))),""))</f>
        <v/>
      </c>
      <c r="Q178" s="10" t="str">
        <f aca="false">IF(D178&lt;&gt;"",D178-1,IF(OR(A178="",C178="",N(P178)&lt;=0),"",(N(B178)*60+C178-IFERROR(N(INDEX(Tracks!$G$2:$G$41,MATCH(A178,Tracks!$A$2:$A$41,0))),0))*P178/240))</f>
        <v/>
      </c>
      <c r="R178" s="9" t="str">
        <f aca="false">IF(Q178="","",INT(Q178)+1)</f>
        <v/>
      </c>
      <c r="S178" s="10" t="str">
        <f aca="false">IF(OR(Q178="",D178&lt;&gt;""),"",MIN(4.75,ROUND((Q178-INT(Q178))*16,0)/4+1))</f>
        <v/>
      </c>
      <c r="T178" s="11" t="str">
        <f aca="false">IF(OR(E178="",N(P178)&lt;=0),"",E178*P178/240)</f>
        <v/>
      </c>
      <c r="U178" s="9" t="str">
        <f aca="false">IF(Q178="","",IF(MIN(MOD(Q178,32),32-MOD(Q178,32))&lt;=0.25,32,IF(MIN(MOD(Q178,16),16-MOD(Q178,16))&lt;=0.25,16,IF(MIN(MOD(Q178,8),8-MOD(Q178,8))&lt;=0.25,8,""))))</f>
        <v/>
      </c>
      <c r="V178" s="9" t="str">
        <f aca="false">IF(OR(Q178="",T178=""),"",IF(MIN(MOD((Q178+T178),32),32-MOD((Q178+T178),32))&lt;=0.25,32,IF(MIN(MOD((Q178+T178),16),16-MOD((Q178+T178),16))&lt;=0.25,16,IF(MIN(MOD((Q178+T178),8),8-MOD((Q178+T178),8))&lt;=0.25,8,""))))</f>
        <v/>
      </c>
    </row>
    <row r="179" customFormat="false" ht="1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9" t="str">
        <f aca="false">IF(A179="","",IFERROR(INDEX(Tracks!$E$2:$E$41,MATCH(A179,Tracks!$A$2:$A$41,0)),"?"))</f>
        <v/>
      </c>
      <c r="P179" s="9" t="str">
        <f aca="false">IF(A179="","",IFERROR(N(INDEX(Tracks!$F$2:$F$41,MATCH(A179,Tracks!$A$2:$A$41,0))),""))</f>
        <v/>
      </c>
      <c r="Q179" s="10" t="str">
        <f aca="false">IF(D179&lt;&gt;"",D179-1,IF(OR(A179="",C179="",N(P179)&lt;=0),"",(N(B179)*60+C179-IFERROR(N(INDEX(Tracks!$G$2:$G$41,MATCH(A179,Tracks!$A$2:$A$41,0))),0))*P179/240))</f>
        <v/>
      </c>
      <c r="R179" s="9" t="str">
        <f aca="false">IF(Q179="","",INT(Q179)+1)</f>
        <v/>
      </c>
      <c r="S179" s="10" t="str">
        <f aca="false">IF(OR(Q179="",D179&lt;&gt;""),"",MIN(4.75,ROUND((Q179-INT(Q179))*16,0)/4+1))</f>
        <v/>
      </c>
      <c r="T179" s="11" t="str">
        <f aca="false">IF(OR(E179="",N(P179)&lt;=0),"",E179*P179/240)</f>
        <v/>
      </c>
      <c r="U179" s="9" t="str">
        <f aca="false">IF(Q179="","",IF(MIN(MOD(Q179,32),32-MOD(Q179,32))&lt;=0.25,32,IF(MIN(MOD(Q179,16),16-MOD(Q179,16))&lt;=0.25,16,IF(MIN(MOD(Q179,8),8-MOD(Q179,8))&lt;=0.25,8,""))))</f>
        <v/>
      </c>
      <c r="V179" s="9" t="str">
        <f aca="false">IF(OR(Q179="",T179=""),"",IF(MIN(MOD((Q179+T179),32),32-MOD((Q179+T179),32))&lt;=0.25,32,IF(MIN(MOD((Q179+T179),16),16-MOD((Q179+T179),16))&lt;=0.25,16,IF(MIN(MOD((Q179+T179),8),8-MOD((Q179+T179),8))&lt;=0.25,8,""))))</f>
        <v/>
      </c>
    </row>
    <row r="180" customFormat="false" ht="1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9" t="str">
        <f aca="false">IF(A180="","",IFERROR(INDEX(Tracks!$E$2:$E$41,MATCH(A180,Tracks!$A$2:$A$41,0)),"?"))</f>
        <v/>
      </c>
      <c r="P180" s="9" t="str">
        <f aca="false">IF(A180="","",IFERROR(N(INDEX(Tracks!$F$2:$F$41,MATCH(A180,Tracks!$A$2:$A$41,0))),""))</f>
        <v/>
      </c>
      <c r="Q180" s="10" t="str">
        <f aca="false">IF(D180&lt;&gt;"",D180-1,IF(OR(A180="",C180="",N(P180)&lt;=0),"",(N(B180)*60+C180-IFERROR(N(INDEX(Tracks!$G$2:$G$41,MATCH(A180,Tracks!$A$2:$A$41,0))),0))*P180/240))</f>
        <v/>
      </c>
      <c r="R180" s="9" t="str">
        <f aca="false">IF(Q180="","",INT(Q180)+1)</f>
        <v/>
      </c>
      <c r="S180" s="10" t="str">
        <f aca="false">IF(OR(Q180="",D180&lt;&gt;""),"",MIN(4.75,ROUND((Q180-INT(Q180))*16,0)/4+1))</f>
        <v/>
      </c>
      <c r="T180" s="11" t="str">
        <f aca="false">IF(OR(E180="",N(P180)&lt;=0),"",E180*P180/240)</f>
        <v/>
      </c>
      <c r="U180" s="9" t="str">
        <f aca="false">IF(Q180="","",IF(MIN(MOD(Q180,32),32-MOD(Q180,32))&lt;=0.25,32,IF(MIN(MOD(Q180,16),16-MOD(Q180,16))&lt;=0.25,16,IF(MIN(MOD(Q180,8),8-MOD(Q180,8))&lt;=0.25,8,""))))</f>
        <v/>
      </c>
      <c r="V180" s="9" t="str">
        <f aca="false">IF(OR(Q180="",T180=""),"",IF(MIN(MOD((Q180+T180),32),32-MOD((Q180+T180),32))&lt;=0.25,32,IF(MIN(MOD((Q180+T180),16),16-MOD((Q180+T180),16))&lt;=0.25,16,IF(MIN(MOD((Q180+T180),8),8-MOD((Q180+T180),8))&lt;=0.25,8,""))))</f>
        <v/>
      </c>
    </row>
    <row r="181" customFormat="false" ht="1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9" t="str">
        <f aca="false">IF(A181="","",IFERROR(INDEX(Tracks!$E$2:$E$41,MATCH(A181,Tracks!$A$2:$A$41,0)),"?"))</f>
        <v/>
      </c>
      <c r="P181" s="9" t="str">
        <f aca="false">IF(A181="","",IFERROR(N(INDEX(Tracks!$F$2:$F$41,MATCH(A181,Tracks!$A$2:$A$41,0))),""))</f>
        <v/>
      </c>
      <c r="Q181" s="10" t="str">
        <f aca="false">IF(D181&lt;&gt;"",D181-1,IF(OR(A181="",C181="",N(P181)&lt;=0),"",(N(B181)*60+C181-IFERROR(N(INDEX(Tracks!$G$2:$G$41,MATCH(A181,Tracks!$A$2:$A$41,0))),0))*P181/240))</f>
        <v/>
      </c>
      <c r="R181" s="9" t="str">
        <f aca="false">IF(Q181="","",INT(Q181)+1)</f>
        <v/>
      </c>
      <c r="S181" s="10" t="str">
        <f aca="false">IF(OR(Q181="",D181&lt;&gt;""),"",MIN(4.75,ROUND((Q181-INT(Q181))*16,0)/4+1))</f>
        <v/>
      </c>
      <c r="T181" s="11" t="str">
        <f aca="false">IF(OR(E181="",N(P181)&lt;=0),"",E181*P181/240)</f>
        <v/>
      </c>
      <c r="U181" s="9" t="str">
        <f aca="false">IF(Q181="","",IF(MIN(MOD(Q181,32),32-MOD(Q181,32))&lt;=0.25,32,IF(MIN(MOD(Q181,16),16-MOD(Q181,16))&lt;=0.25,16,IF(MIN(MOD(Q181,8),8-MOD(Q181,8))&lt;=0.25,8,""))))</f>
        <v/>
      </c>
      <c r="V181" s="9" t="str">
        <f aca="false">IF(OR(Q181="",T181=""),"",IF(MIN(MOD((Q181+T181),32),32-MOD((Q181+T181),32))&lt;=0.25,32,IF(MIN(MOD((Q181+T181),16),16-MOD((Q181+T181),16))&lt;=0.25,16,IF(MIN(MOD((Q181+T181),8),8-MOD((Q181+T181),8))&lt;=0.25,8,""))))</f>
        <v/>
      </c>
    </row>
    <row r="182" customFormat="false" ht="1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9" t="str">
        <f aca="false">IF(A182="","",IFERROR(INDEX(Tracks!$E$2:$E$41,MATCH(A182,Tracks!$A$2:$A$41,0)),"?"))</f>
        <v/>
      </c>
      <c r="P182" s="9" t="str">
        <f aca="false">IF(A182="","",IFERROR(N(INDEX(Tracks!$F$2:$F$41,MATCH(A182,Tracks!$A$2:$A$41,0))),""))</f>
        <v/>
      </c>
      <c r="Q182" s="10" t="str">
        <f aca="false">IF(D182&lt;&gt;"",D182-1,IF(OR(A182="",C182="",N(P182)&lt;=0),"",(N(B182)*60+C182-IFERROR(N(INDEX(Tracks!$G$2:$G$41,MATCH(A182,Tracks!$A$2:$A$41,0))),0))*P182/240))</f>
        <v/>
      </c>
      <c r="R182" s="9" t="str">
        <f aca="false">IF(Q182="","",INT(Q182)+1)</f>
        <v/>
      </c>
      <c r="S182" s="10" t="str">
        <f aca="false">IF(OR(Q182="",D182&lt;&gt;""),"",MIN(4.75,ROUND((Q182-INT(Q182))*16,0)/4+1))</f>
        <v/>
      </c>
      <c r="T182" s="11" t="str">
        <f aca="false">IF(OR(E182="",N(P182)&lt;=0),"",E182*P182/240)</f>
        <v/>
      </c>
      <c r="U182" s="9" t="str">
        <f aca="false">IF(Q182="","",IF(MIN(MOD(Q182,32),32-MOD(Q182,32))&lt;=0.25,32,IF(MIN(MOD(Q182,16),16-MOD(Q182,16))&lt;=0.25,16,IF(MIN(MOD(Q182,8),8-MOD(Q182,8))&lt;=0.25,8,""))))</f>
        <v/>
      </c>
      <c r="V182" s="9" t="str">
        <f aca="false">IF(OR(Q182="",T182=""),"",IF(MIN(MOD((Q182+T182),32),32-MOD((Q182+T182),32))&lt;=0.25,32,IF(MIN(MOD((Q182+T182),16),16-MOD((Q182+T182),16))&lt;=0.25,16,IF(MIN(MOD((Q182+T182),8),8-MOD((Q182+T182),8))&lt;=0.25,8,""))))</f>
        <v/>
      </c>
    </row>
    <row r="183" customFormat="false" ht="1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9" t="str">
        <f aca="false">IF(A183="","",IFERROR(INDEX(Tracks!$E$2:$E$41,MATCH(A183,Tracks!$A$2:$A$41,0)),"?"))</f>
        <v/>
      </c>
      <c r="P183" s="9" t="str">
        <f aca="false">IF(A183="","",IFERROR(N(INDEX(Tracks!$F$2:$F$41,MATCH(A183,Tracks!$A$2:$A$41,0))),""))</f>
        <v/>
      </c>
      <c r="Q183" s="10" t="str">
        <f aca="false">IF(D183&lt;&gt;"",D183-1,IF(OR(A183="",C183="",N(P183)&lt;=0),"",(N(B183)*60+C183-IFERROR(N(INDEX(Tracks!$G$2:$G$41,MATCH(A183,Tracks!$A$2:$A$41,0))),0))*P183/240))</f>
        <v/>
      </c>
      <c r="R183" s="9" t="str">
        <f aca="false">IF(Q183="","",INT(Q183)+1)</f>
        <v/>
      </c>
      <c r="S183" s="10" t="str">
        <f aca="false">IF(OR(Q183="",D183&lt;&gt;""),"",MIN(4.75,ROUND((Q183-INT(Q183))*16,0)/4+1))</f>
        <v/>
      </c>
      <c r="T183" s="11" t="str">
        <f aca="false">IF(OR(E183="",N(P183)&lt;=0),"",E183*P183/240)</f>
        <v/>
      </c>
      <c r="U183" s="9" t="str">
        <f aca="false">IF(Q183="","",IF(MIN(MOD(Q183,32),32-MOD(Q183,32))&lt;=0.25,32,IF(MIN(MOD(Q183,16),16-MOD(Q183,16))&lt;=0.25,16,IF(MIN(MOD(Q183,8),8-MOD(Q183,8))&lt;=0.25,8,""))))</f>
        <v/>
      </c>
      <c r="V183" s="9" t="str">
        <f aca="false">IF(OR(Q183="",T183=""),"",IF(MIN(MOD((Q183+T183),32),32-MOD((Q183+T183),32))&lt;=0.25,32,IF(MIN(MOD((Q183+T183),16),16-MOD((Q183+T183),16))&lt;=0.25,16,IF(MIN(MOD((Q183+T183),8),8-MOD((Q183+T183),8))&lt;=0.25,8,""))))</f>
        <v/>
      </c>
    </row>
    <row r="184" customFormat="false" ht="1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9" t="str">
        <f aca="false">IF(A184="","",IFERROR(INDEX(Tracks!$E$2:$E$41,MATCH(A184,Tracks!$A$2:$A$41,0)),"?"))</f>
        <v/>
      </c>
      <c r="P184" s="9" t="str">
        <f aca="false">IF(A184="","",IFERROR(N(INDEX(Tracks!$F$2:$F$41,MATCH(A184,Tracks!$A$2:$A$41,0))),""))</f>
        <v/>
      </c>
      <c r="Q184" s="10" t="str">
        <f aca="false">IF(D184&lt;&gt;"",D184-1,IF(OR(A184="",C184="",N(P184)&lt;=0),"",(N(B184)*60+C184-IFERROR(N(INDEX(Tracks!$G$2:$G$41,MATCH(A184,Tracks!$A$2:$A$41,0))),0))*P184/240))</f>
        <v/>
      </c>
      <c r="R184" s="9" t="str">
        <f aca="false">IF(Q184="","",INT(Q184)+1)</f>
        <v/>
      </c>
      <c r="S184" s="10" t="str">
        <f aca="false">IF(OR(Q184="",D184&lt;&gt;""),"",MIN(4.75,ROUND((Q184-INT(Q184))*16,0)/4+1))</f>
        <v/>
      </c>
      <c r="T184" s="11" t="str">
        <f aca="false">IF(OR(E184="",N(P184)&lt;=0),"",E184*P184/240)</f>
        <v/>
      </c>
      <c r="U184" s="9" t="str">
        <f aca="false">IF(Q184="","",IF(MIN(MOD(Q184,32),32-MOD(Q184,32))&lt;=0.25,32,IF(MIN(MOD(Q184,16),16-MOD(Q184,16))&lt;=0.25,16,IF(MIN(MOD(Q184,8),8-MOD(Q184,8))&lt;=0.25,8,""))))</f>
        <v/>
      </c>
      <c r="V184" s="9" t="str">
        <f aca="false">IF(OR(Q184="",T184=""),"",IF(MIN(MOD((Q184+T184),32),32-MOD((Q184+T184),32))&lt;=0.25,32,IF(MIN(MOD((Q184+T184),16),16-MOD((Q184+T184),16))&lt;=0.25,16,IF(MIN(MOD((Q184+T184),8),8-MOD((Q184+T184),8))&lt;=0.25,8,""))))</f>
        <v/>
      </c>
    </row>
    <row r="185" customFormat="false" ht="1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9" t="str">
        <f aca="false">IF(A185="","",IFERROR(INDEX(Tracks!$E$2:$E$41,MATCH(A185,Tracks!$A$2:$A$41,0)),"?"))</f>
        <v/>
      </c>
      <c r="P185" s="9" t="str">
        <f aca="false">IF(A185="","",IFERROR(N(INDEX(Tracks!$F$2:$F$41,MATCH(A185,Tracks!$A$2:$A$41,0))),""))</f>
        <v/>
      </c>
      <c r="Q185" s="10" t="str">
        <f aca="false">IF(D185&lt;&gt;"",D185-1,IF(OR(A185="",C185="",N(P185)&lt;=0),"",(N(B185)*60+C185-IFERROR(N(INDEX(Tracks!$G$2:$G$41,MATCH(A185,Tracks!$A$2:$A$41,0))),0))*P185/240))</f>
        <v/>
      </c>
      <c r="R185" s="9" t="str">
        <f aca="false">IF(Q185="","",INT(Q185)+1)</f>
        <v/>
      </c>
      <c r="S185" s="10" t="str">
        <f aca="false">IF(OR(Q185="",D185&lt;&gt;""),"",MIN(4.75,ROUND((Q185-INT(Q185))*16,0)/4+1))</f>
        <v/>
      </c>
      <c r="T185" s="11" t="str">
        <f aca="false">IF(OR(E185="",N(P185)&lt;=0),"",E185*P185/240)</f>
        <v/>
      </c>
      <c r="U185" s="9" t="str">
        <f aca="false">IF(Q185="","",IF(MIN(MOD(Q185,32),32-MOD(Q185,32))&lt;=0.25,32,IF(MIN(MOD(Q185,16),16-MOD(Q185,16))&lt;=0.25,16,IF(MIN(MOD(Q185,8),8-MOD(Q185,8))&lt;=0.25,8,""))))</f>
        <v/>
      </c>
      <c r="V185" s="9" t="str">
        <f aca="false">IF(OR(Q185="",T185=""),"",IF(MIN(MOD((Q185+T185),32),32-MOD((Q185+T185),32))&lt;=0.25,32,IF(MIN(MOD((Q185+T185),16),16-MOD((Q185+T185),16))&lt;=0.25,16,IF(MIN(MOD((Q185+T185),8),8-MOD((Q185+T185),8))&lt;=0.25,8,""))))</f>
        <v/>
      </c>
    </row>
    <row r="186" customFormat="false" ht="1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9" t="str">
        <f aca="false">IF(A186="","",IFERROR(INDEX(Tracks!$E$2:$E$41,MATCH(A186,Tracks!$A$2:$A$41,0)),"?"))</f>
        <v/>
      </c>
      <c r="P186" s="9" t="str">
        <f aca="false">IF(A186="","",IFERROR(N(INDEX(Tracks!$F$2:$F$41,MATCH(A186,Tracks!$A$2:$A$41,0))),""))</f>
        <v/>
      </c>
      <c r="Q186" s="10" t="str">
        <f aca="false">IF(D186&lt;&gt;"",D186-1,IF(OR(A186="",C186="",N(P186)&lt;=0),"",(N(B186)*60+C186-IFERROR(N(INDEX(Tracks!$G$2:$G$41,MATCH(A186,Tracks!$A$2:$A$41,0))),0))*P186/240))</f>
        <v/>
      </c>
      <c r="R186" s="9" t="str">
        <f aca="false">IF(Q186="","",INT(Q186)+1)</f>
        <v/>
      </c>
      <c r="S186" s="10" t="str">
        <f aca="false">IF(OR(Q186="",D186&lt;&gt;""),"",MIN(4.75,ROUND((Q186-INT(Q186))*16,0)/4+1))</f>
        <v/>
      </c>
      <c r="T186" s="11" t="str">
        <f aca="false">IF(OR(E186="",N(P186)&lt;=0),"",E186*P186/240)</f>
        <v/>
      </c>
      <c r="U186" s="9" t="str">
        <f aca="false">IF(Q186="","",IF(MIN(MOD(Q186,32),32-MOD(Q186,32))&lt;=0.25,32,IF(MIN(MOD(Q186,16),16-MOD(Q186,16))&lt;=0.25,16,IF(MIN(MOD(Q186,8),8-MOD(Q186,8))&lt;=0.25,8,""))))</f>
        <v/>
      </c>
      <c r="V186" s="9" t="str">
        <f aca="false">IF(OR(Q186="",T186=""),"",IF(MIN(MOD((Q186+T186),32),32-MOD((Q186+T186),32))&lt;=0.25,32,IF(MIN(MOD((Q186+T186),16),16-MOD((Q186+T186),16))&lt;=0.25,16,IF(MIN(MOD((Q186+T186),8),8-MOD((Q186+T186),8))&lt;=0.25,8,""))))</f>
        <v/>
      </c>
    </row>
    <row r="187" customFormat="false" ht="1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9" t="str">
        <f aca="false">IF(A187="","",IFERROR(INDEX(Tracks!$E$2:$E$41,MATCH(A187,Tracks!$A$2:$A$41,0)),"?"))</f>
        <v/>
      </c>
      <c r="P187" s="9" t="str">
        <f aca="false">IF(A187="","",IFERROR(N(INDEX(Tracks!$F$2:$F$41,MATCH(A187,Tracks!$A$2:$A$41,0))),""))</f>
        <v/>
      </c>
      <c r="Q187" s="10" t="str">
        <f aca="false">IF(D187&lt;&gt;"",D187-1,IF(OR(A187="",C187="",N(P187)&lt;=0),"",(N(B187)*60+C187-IFERROR(N(INDEX(Tracks!$G$2:$G$41,MATCH(A187,Tracks!$A$2:$A$41,0))),0))*P187/240))</f>
        <v/>
      </c>
      <c r="R187" s="9" t="str">
        <f aca="false">IF(Q187="","",INT(Q187)+1)</f>
        <v/>
      </c>
      <c r="S187" s="10" t="str">
        <f aca="false">IF(OR(Q187="",D187&lt;&gt;""),"",MIN(4.75,ROUND((Q187-INT(Q187))*16,0)/4+1))</f>
        <v/>
      </c>
      <c r="T187" s="11" t="str">
        <f aca="false">IF(OR(E187="",N(P187)&lt;=0),"",E187*P187/240)</f>
        <v/>
      </c>
      <c r="U187" s="9" t="str">
        <f aca="false">IF(Q187="","",IF(MIN(MOD(Q187,32),32-MOD(Q187,32))&lt;=0.25,32,IF(MIN(MOD(Q187,16),16-MOD(Q187,16))&lt;=0.25,16,IF(MIN(MOD(Q187,8),8-MOD(Q187,8))&lt;=0.25,8,""))))</f>
        <v/>
      </c>
      <c r="V187" s="9" t="str">
        <f aca="false">IF(OR(Q187="",T187=""),"",IF(MIN(MOD((Q187+T187),32),32-MOD((Q187+T187),32))&lt;=0.25,32,IF(MIN(MOD((Q187+T187),16),16-MOD((Q187+T187),16))&lt;=0.25,16,IF(MIN(MOD((Q187+T187),8),8-MOD((Q187+T187),8))&lt;=0.25,8,""))))</f>
        <v/>
      </c>
    </row>
    <row r="188" customFormat="false" ht="1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9" t="str">
        <f aca="false">IF(A188="","",IFERROR(INDEX(Tracks!$E$2:$E$41,MATCH(A188,Tracks!$A$2:$A$41,0)),"?"))</f>
        <v/>
      </c>
      <c r="P188" s="9" t="str">
        <f aca="false">IF(A188="","",IFERROR(N(INDEX(Tracks!$F$2:$F$41,MATCH(A188,Tracks!$A$2:$A$41,0))),""))</f>
        <v/>
      </c>
      <c r="Q188" s="10" t="str">
        <f aca="false">IF(D188&lt;&gt;"",D188-1,IF(OR(A188="",C188="",N(P188)&lt;=0),"",(N(B188)*60+C188-IFERROR(N(INDEX(Tracks!$G$2:$G$41,MATCH(A188,Tracks!$A$2:$A$41,0))),0))*P188/240))</f>
        <v/>
      </c>
      <c r="R188" s="9" t="str">
        <f aca="false">IF(Q188="","",INT(Q188)+1)</f>
        <v/>
      </c>
      <c r="S188" s="10" t="str">
        <f aca="false">IF(OR(Q188="",D188&lt;&gt;""),"",MIN(4.75,ROUND((Q188-INT(Q188))*16,0)/4+1))</f>
        <v/>
      </c>
      <c r="T188" s="11" t="str">
        <f aca="false">IF(OR(E188="",N(P188)&lt;=0),"",E188*P188/240)</f>
        <v/>
      </c>
      <c r="U188" s="9" t="str">
        <f aca="false">IF(Q188="","",IF(MIN(MOD(Q188,32),32-MOD(Q188,32))&lt;=0.25,32,IF(MIN(MOD(Q188,16),16-MOD(Q188,16))&lt;=0.25,16,IF(MIN(MOD(Q188,8),8-MOD(Q188,8))&lt;=0.25,8,""))))</f>
        <v/>
      </c>
      <c r="V188" s="9" t="str">
        <f aca="false">IF(OR(Q188="",T188=""),"",IF(MIN(MOD((Q188+T188),32),32-MOD((Q188+T188),32))&lt;=0.25,32,IF(MIN(MOD((Q188+T188),16),16-MOD((Q188+T188),16))&lt;=0.25,16,IF(MIN(MOD((Q188+T188),8),8-MOD((Q188+T188),8))&lt;=0.25,8,""))))</f>
        <v/>
      </c>
    </row>
    <row r="189" customFormat="false" ht="1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9" t="str">
        <f aca="false">IF(A189="","",IFERROR(INDEX(Tracks!$E$2:$E$41,MATCH(A189,Tracks!$A$2:$A$41,0)),"?"))</f>
        <v/>
      </c>
      <c r="P189" s="9" t="str">
        <f aca="false">IF(A189="","",IFERROR(N(INDEX(Tracks!$F$2:$F$41,MATCH(A189,Tracks!$A$2:$A$41,0))),""))</f>
        <v/>
      </c>
      <c r="Q189" s="10" t="str">
        <f aca="false">IF(D189&lt;&gt;"",D189-1,IF(OR(A189="",C189="",N(P189)&lt;=0),"",(N(B189)*60+C189-IFERROR(N(INDEX(Tracks!$G$2:$G$41,MATCH(A189,Tracks!$A$2:$A$41,0))),0))*P189/240))</f>
        <v/>
      </c>
      <c r="R189" s="9" t="str">
        <f aca="false">IF(Q189="","",INT(Q189)+1)</f>
        <v/>
      </c>
      <c r="S189" s="10" t="str">
        <f aca="false">IF(OR(Q189="",D189&lt;&gt;""),"",MIN(4.75,ROUND((Q189-INT(Q189))*16,0)/4+1))</f>
        <v/>
      </c>
      <c r="T189" s="11" t="str">
        <f aca="false">IF(OR(E189="",N(P189)&lt;=0),"",E189*P189/240)</f>
        <v/>
      </c>
      <c r="U189" s="9" t="str">
        <f aca="false">IF(Q189="","",IF(MIN(MOD(Q189,32),32-MOD(Q189,32))&lt;=0.25,32,IF(MIN(MOD(Q189,16),16-MOD(Q189,16))&lt;=0.25,16,IF(MIN(MOD(Q189,8),8-MOD(Q189,8))&lt;=0.25,8,""))))</f>
        <v/>
      </c>
      <c r="V189" s="9" t="str">
        <f aca="false">IF(OR(Q189="",T189=""),"",IF(MIN(MOD((Q189+T189),32),32-MOD((Q189+T189),32))&lt;=0.25,32,IF(MIN(MOD((Q189+T189),16),16-MOD((Q189+T189),16))&lt;=0.25,16,IF(MIN(MOD((Q189+T189),8),8-MOD((Q189+T189),8))&lt;=0.25,8,""))))</f>
        <v/>
      </c>
    </row>
    <row r="190" customFormat="false" ht="1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9" t="str">
        <f aca="false">IF(A190="","",IFERROR(INDEX(Tracks!$E$2:$E$41,MATCH(A190,Tracks!$A$2:$A$41,0)),"?"))</f>
        <v/>
      </c>
      <c r="P190" s="9" t="str">
        <f aca="false">IF(A190="","",IFERROR(N(INDEX(Tracks!$F$2:$F$41,MATCH(A190,Tracks!$A$2:$A$41,0))),""))</f>
        <v/>
      </c>
      <c r="Q190" s="10" t="str">
        <f aca="false">IF(D190&lt;&gt;"",D190-1,IF(OR(A190="",C190="",N(P190)&lt;=0),"",(N(B190)*60+C190-IFERROR(N(INDEX(Tracks!$G$2:$G$41,MATCH(A190,Tracks!$A$2:$A$41,0))),0))*P190/240))</f>
        <v/>
      </c>
      <c r="R190" s="9" t="str">
        <f aca="false">IF(Q190="","",INT(Q190)+1)</f>
        <v/>
      </c>
      <c r="S190" s="10" t="str">
        <f aca="false">IF(OR(Q190="",D190&lt;&gt;""),"",MIN(4.75,ROUND((Q190-INT(Q190))*16,0)/4+1))</f>
        <v/>
      </c>
      <c r="T190" s="11" t="str">
        <f aca="false">IF(OR(E190="",N(P190)&lt;=0),"",E190*P190/240)</f>
        <v/>
      </c>
      <c r="U190" s="9" t="str">
        <f aca="false">IF(Q190="","",IF(MIN(MOD(Q190,32),32-MOD(Q190,32))&lt;=0.25,32,IF(MIN(MOD(Q190,16),16-MOD(Q190,16))&lt;=0.25,16,IF(MIN(MOD(Q190,8),8-MOD(Q190,8))&lt;=0.25,8,""))))</f>
        <v/>
      </c>
      <c r="V190" s="9" t="str">
        <f aca="false">IF(OR(Q190="",T190=""),"",IF(MIN(MOD((Q190+T190),32),32-MOD((Q190+T190),32))&lt;=0.25,32,IF(MIN(MOD((Q190+T190),16),16-MOD((Q190+T190),16))&lt;=0.25,16,IF(MIN(MOD((Q190+T190),8),8-MOD((Q190+T190),8))&lt;=0.25,8,""))))</f>
        <v/>
      </c>
    </row>
    <row r="191" customFormat="false" ht="1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9" t="str">
        <f aca="false">IF(A191="","",IFERROR(INDEX(Tracks!$E$2:$E$41,MATCH(A191,Tracks!$A$2:$A$41,0)),"?"))</f>
        <v/>
      </c>
      <c r="P191" s="9" t="str">
        <f aca="false">IF(A191="","",IFERROR(N(INDEX(Tracks!$F$2:$F$41,MATCH(A191,Tracks!$A$2:$A$41,0))),""))</f>
        <v/>
      </c>
      <c r="Q191" s="10" t="str">
        <f aca="false">IF(D191&lt;&gt;"",D191-1,IF(OR(A191="",C191="",N(P191)&lt;=0),"",(N(B191)*60+C191-IFERROR(N(INDEX(Tracks!$G$2:$G$41,MATCH(A191,Tracks!$A$2:$A$41,0))),0))*P191/240))</f>
        <v/>
      </c>
      <c r="R191" s="9" t="str">
        <f aca="false">IF(Q191="","",INT(Q191)+1)</f>
        <v/>
      </c>
      <c r="S191" s="10" t="str">
        <f aca="false">IF(OR(Q191="",D191&lt;&gt;""),"",MIN(4.75,ROUND((Q191-INT(Q191))*16,0)/4+1))</f>
        <v/>
      </c>
      <c r="T191" s="11" t="str">
        <f aca="false">IF(OR(E191="",N(P191)&lt;=0),"",E191*P191/240)</f>
        <v/>
      </c>
      <c r="U191" s="9" t="str">
        <f aca="false">IF(Q191="","",IF(MIN(MOD(Q191,32),32-MOD(Q191,32))&lt;=0.25,32,IF(MIN(MOD(Q191,16),16-MOD(Q191,16))&lt;=0.25,16,IF(MIN(MOD(Q191,8),8-MOD(Q191,8))&lt;=0.25,8,""))))</f>
        <v/>
      </c>
      <c r="V191" s="9" t="str">
        <f aca="false">IF(OR(Q191="",T191=""),"",IF(MIN(MOD((Q191+T191),32),32-MOD((Q191+T191),32))&lt;=0.25,32,IF(MIN(MOD((Q191+T191),16),16-MOD((Q191+T191),16))&lt;=0.25,16,IF(MIN(MOD((Q191+T191),8),8-MOD((Q191+T191),8))&lt;=0.25,8,""))))</f>
        <v/>
      </c>
    </row>
    <row r="192" customFormat="false" ht="1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9" t="str">
        <f aca="false">IF(A192="","",IFERROR(INDEX(Tracks!$E$2:$E$41,MATCH(A192,Tracks!$A$2:$A$41,0)),"?"))</f>
        <v/>
      </c>
      <c r="P192" s="9" t="str">
        <f aca="false">IF(A192="","",IFERROR(N(INDEX(Tracks!$F$2:$F$41,MATCH(A192,Tracks!$A$2:$A$41,0))),""))</f>
        <v/>
      </c>
      <c r="Q192" s="10" t="str">
        <f aca="false">IF(D192&lt;&gt;"",D192-1,IF(OR(A192="",C192="",N(P192)&lt;=0),"",(N(B192)*60+C192-IFERROR(N(INDEX(Tracks!$G$2:$G$41,MATCH(A192,Tracks!$A$2:$A$41,0))),0))*P192/240))</f>
        <v/>
      </c>
      <c r="R192" s="9" t="str">
        <f aca="false">IF(Q192="","",INT(Q192)+1)</f>
        <v/>
      </c>
      <c r="S192" s="10" t="str">
        <f aca="false">IF(OR(Q192="",D192&lt;&gt;""),"",MIN(4.75,ROUND((Q192-INT(Q192))*16,0)/4+1))</f>
        <v/>
      </c>
      <c r="T192" s="11" t="str">
        <f aca="false">IF(OR(E192="",N(P192)&lt;=0),"",E192*P192/240)</f>
        <v/>
      </c>
      <c r="U192" s="9" t="str">
        <f aca="false">IF(Q192="","",IF(MIN(MOD(Q192,32),32-MOD(Q192,32))&lt;=0.25,32,IF(MIN(MOD(Q192,16),16-MOD(Q192,16))&lt;=0.25,16,IF(MIN(MOD(Q192,8),8-MOD(Q192,8))&lt;=0.25,8,""))))</f>
        <v/>
      </c>
      <c r="V192" s="9" t="str">
        <f aca="false">IF(OR(Q192="",T192=""),"",IF(MIN(MOD((Q192+T192),32),32-MOD((Q192+T192),32))&lt;=0.25,32,IF(MIN(MOD((Q192+T192),16),16-MOD((Q192+T192),16))&lt;=0.25,16,IF(MIN(MOD((Q192+T192),8),8-MOD((Q192+T192),8))&lt;=0.25,8,""))))</f>
        <v/>
      </c>
    </row>
    <row r="193" customFormat="false" ht="1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9" t="str">
        <f aca="false">IF(A193="","",IFERROR(INDEX(Tracks!$E$2:$E$41,MATCH(A193,Tracks!$A$2:$A$41,0)),"?"))</f>
        <v/>
      </c>
      <c r="P193" s="9" t="str">
        <f aca="false">IF(A193="","",IFERROR(N(INDEX(Tracks!$F$2:$F$41,MATCH(A193,Tracks!$A$2:$A$41,0))),""))</f>
        <v/>
      </c>
      <c r="Q193" s="10" t="str">
        <f aca="false">IF(D193&lt;&gt;"",D193-1,IF(OR(A193="",C193="",N(P193)&lt;=0),"",(N(B193)*60+C193-IFERROR(N(INDEX(Tracks!$G$2:$G$41,MATCH(A193,Tracks!$A$2:$A$41,0))),0))*P193/240))</f>
        <v/>
      </c>
      <c r="R193" s="9" t="str">
        <f aca="false">IF(Q193="","",INT(Q193)+1)</f>
        <v/>
      </c>
      <c r="S193" s="10" t="str">
        <f aca="false">IF(OR(Q193="",D193&lt;&gt;""),"",MIN(4.75,ROUND((Q193-INT(Q193))*16,0)/4+1))</f>
        <v/>
      </c>
      <c r="T193" s="11" t="str">
        <f aca="false">IF(OR(E193="",N(P193)&lt;=0),"",E193*P193/240)</f>
        <v/>
      </c>
      <c r="U193" s="9" t="str">
        <f aca="false">IF(Q193="","",IF(MIN(MOD(Q193,32),32-MOD(Q193,32))&lt;=0.25,32,IF(MIN(MOD(Q193,16),16-MOD(Q193,16))&lt;=0.25,16,IF(MIN(MOD(Q193,8),8-MOD(Q193,8))&lt;=0.25,8,""))))</f>
        <v/>
      </c>
      <c r="V193" s="9" t="str">
        <f aca="false">IF(OR(Q193="",T193=""),"",IF(MIN(MOD((Q193+T193),32),32-MOD((Q193+T193),32))&lt;=0.25,32,IF(MIN(MOD((Q193+T193),16),16-MOD((Q193+T193),16))&lt;=0.25,16,IF(MIN(MOD((Q193+T193),8),8-MOD((Q193+T193),8))&lt;=0.25,8,""))))</f>
        <v/>
      </c>
    </row>
    <row r="194" customFormat="false" ht="1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9" t="str">
        <f aca="false">IF(A194="","",IFERROR(INDEX(Tracks!$E$2:$E$41,MATCH(A194,Tracks!$A$2:$A$41,0)),"?"))</f>
        <v/>
      </c>
      <c r="P194" s="9" t="str">
        <f aca="false">IF(A194="","",IFERROR(N(INDEX(Tracks!$F$2:$F$41,MATCH(A194,Tracks!$A$2:$A$41,0))),""))</f>
        <v/>
      </c>
      <c r="Q194" s="10" t="str">
        <f aca="false">IF(D194&lt;&gt;"",D194-1,IF(OR(A194="",C194="",N(P194)&lt;=0),"",(N(B194)*60+C194-IFERROR(N(INDEX(Tracks!$G$2:$G$41,MATCH(A194,Tracks!$A$2:$A$41,0))),0))*P194/240))</f>
        <v/>
      </c>
      <c r="R194" s="9" t="str">
        <f aca="false">IF(Q194="","",INT(Q194)+1)</f>
        <v/>
      </c>
      <c r="S194" s="10" t="str">
        <f aca="false">IF(OR(Q194="",D194&lt;&gt;""),"",MIN(4.75,ROUND((Q194-INT(Q194))*16,0)/4+1))</f>
        <v/>
      </c>
      <c r="T194" s="11" t="str">
        <f aca="false">IF(OR(E194="",N(P194)&lt;=0),"",E194*P194/240)</f>
        <v/>
      </c>
      <c r="U194" s="9" t="str">
        <f aca="false">IF(Q194="","",IF(MIN(MOD(Q194,32),32-MOD(Q194,32))&lt;=0.25,32,IF(MIN(MOD(Q194,16),16-MOD(Q194,16))&lt;=0.25,16,IF(MIN(MOD(Q194,8),8-MOD(Q194,8))&lt;=0.25,8,""))))</f>
        <v/>
      </c>
      <c r="V194" s="9" t="str">
        <f aca="false">IF(OR(Q194="",T194=""),"",IF(MIN(MOD((Q194+T194),32),32-MOD((Q194+T194),32))&lt;=0.25,32,IF(MIN(MOD((Q194+T194),16),16-MOD((Q194+T194),16))&lt;=0.25,16,IF(MIN(MOD((Q194+T194),8),8-MOD((Q194+T194),8))&lt;=0.25,8,""))))</f>
        <v/>
      </c>
    </row>
    <row r="195" customFormat="false" ht="1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9" t="str">
        <f aca="false">IF(A195="","",IFERROR(INDEX(Tracks!$E$2:$E$41,MATCH(A195,Tracks!$A$2:$A$41,0)),"?"))</f>
        <v/>
      </c>
      <c r="P195" s="9" t="str">
        <f aca="false">IF(A195="","",IFERROR(N(INDEX(Tracks!$F$2:$F$41,MATCH(A195,Tracks!$A$2:$A$41,0))),""))</f>
        <v/>
      </c>
      <c r="Q195" s="10" t="str">
        <f aca="false">IF(D195&lt;&gt;"",D195-1,IF(OR(A195="",C195="",N(P195)&lt;=0),"",(N(B195)*60+C195-IFERROR(N(INDEX(Tracks!$G$2:$G$41,MATCH(A195,Tracks!$A$2:$A$41,0))),0))*P195/240))</f>
        <v/>
      </c>
      <c r="R195" s="9" t="str">
        <f aca="false">IF(Q195="","",INT(Q195)+1)</f>
        <v/>
      </c>
      <c r="S195" s="10" t="str">
        <f aca="false">IF(OR(Q195="",D195&lt;&gt;""),"",MIN(4.75,ROUND((Q195-INT(Q195))*16,0)/4+1))</f>
        <v/>
      </c>
      <c r="T195" s="11" t="str">
        <f aca="false">IF(OR(E195="",N(P195)&lt;=0),"",E195*P195/240)</f>
        <v/>
      </c>
      <c r="U195" s="9" t="str">
        <f aca="false">IF(Q195="","",IF(MIN(MOD(Q195,32),32-MOD(Q195,32))&lt;=0.25,32,IF(MIN(MOD(Q195,16),16-MOD(Q195,16))&lt;=0.25,16,IF(MIN(MOD(Q195,8),8-MOD(Q195,8))&lt;=0.25,8,""))))</f>
        <v/>
      </c>
      <c r="V195" s="9" t="str">
        <f aca="false">IF(OR(Q195="",T195=""),"",IF(MIN(MOD((Q195+T195),32),32-MOD((Q195+T195),32))&lt;=0.25,32,IF(MIN(MOD((Q195+T195),16),16-MOD((Q195+T195),16))&lt;=0.25,16,IF(MIN(MOD((Q195+T195),8),8-MOD((Q195+T195),8))&lt;=0.25,8,""))))</f>
        <v/>
      </c>
    </row>
    <row r="196" customFormat="false" ht="1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9" t="str">
        <f aca="false">IF(A196="","",IFERROR(INDEX(Tracks!$E$2:$E$41,MATCH(A196,Tracks!$A$2:$A$41,0)),"?"))</f>
        <v/>
      </c>
      <c r="P196" s="9" t="str">
        <f aca="false">IF(A196="","",IFERROR(N(INDEX(Tracks!$F$2:$F$41,MATCH(A196,Tracks!$A$2:$A$41,0))),""))</f>
        <v/>
      </c>
      <c r="Q196" s="10" t="str">
        <f aca="false">IF(D196&lt;&gt;"",D196-1,IF(OR(A196="",C196="",N(P196)&lt;=0),"",(N(B196)*60+C196-IFERROR(N(INDEX(Tracks!$G$2:$G$41,MATCH(A196,Tracks!$A$2:$A$41,0))),0))*P196/240))</f>
        <v/>
      </c>
      <c r="R196" s="9" t="str">
        <f aca="false">IF(Q196="","",INT(Q196)+1)</f>
        <v/>
      </c>
      <c r="S196" s="10" t="str">
        <f aca="false">IF(OR(Q196="",D196&lt;&gt;""),"",MIN(4.75,ROUND((Q196-INT(Q196))*16,0)/4+1))</f>
        <v/>
      </c>
      <c r="T196" s="11" t="str">
        <f aca="false">IF(OR(E196="",N(P196)&lt;=0),"",E196*P196/240)</f>
        <v/>
      </c>
      <c r="U196" s="9" t="str">
        <f aca="false">IF(Q196="","",IF(MIN(MOD(Q196,32),32-MOD(Q196,32))&lt;=0.25,32,IF(MIN(MOD(Q196,16),16-MOD(Q196,16))&lt;=0.25,16,IF(MIN(MOD(Q196,8),8-MOD(Q196,8))&lt;=0.25,8,""))))</f>
        <v/>
      </c>
      <c r="V196" s="9" t="str">
        <f aca="false">IF(OR(Q196="",T196=""),"",IF(MIN(MOD((Q196+T196),32),32-MOD((Q196+T196),32))&lt;=0.25,32,IF(MIN(MOD((Q196+T196),16),16-MOD((Q196+T196),16))&lt;=0.25,16,IF(MIN(MOD((Q196+T196),8),8-MOD((Q196+T196),8))&lt;=0.25,8,""))))</f>
        <v/>
      </c>
    </row>
    <row r="197" customFormat="false" ht="1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9" t="str">
        <f aca="false">IF(A197="","",IFERROR(INDEX(Tracks!$E$2:$E$41,MATCH(A197,Tracks!$A$2:$A$41,0)),"?"))</f>
        <v/>
      </c>
      <c r="P197" s="9" t="str">
        <f aca="false">IF(A197="","",IFERROR(N(INDEX(Tracks!$F$2:$F$41,MATCH(A197,Tracks!$A$2:$A$41,0))),""))</f>
        <v/>
      </c>
      <c r="Q197" s="10" t="str">
        <f aca="false">IF(D197&lt;&gt;"",D197-1,IF(OR(A197="",C197="",N(P197)&lt;=0),"",(N(B197)*60+C197-IFERROR(N(INDEX(Tracks!$G$2:$G$41,MATCH(A197,Tracks!$A$2:$A$41,0))),0))*P197/240))</f>
        <v/>
      </c>
      <c r="R197" s="9" t="str">
        <f aca="false">IF(Q197="","",INT(Q197)+1)</f>
        <v/>
      </c>
      <c r="S197" s="10" t="str">
        <f aca="false">IF(OR(Q197="",D197&lt;&gt;""),"",MIN(4.75,ROUND((Q197-INT(Q197))*16,0)/4+1))</f>
        <v/>
      </c>
      <c r="T197" s="11" t="str">
        <f aca="false">IF(OR(E197="",N(P197)&lt;=0),"",E197*P197/240)</f>
        <v/>
      </c>
      <c r="U197" s="9" t="str">
        <f aca="false">IF(Q197="","",IF(MIN(MOD(Q197,32),32-MOD(Q197,32))&lt;=0.25,32,IF(MIN(MOD(Q197,16),16-MOD(Q197,16))&lt;=0.25,16,IF(MIN(MOD(Q197,8),8-MOD(Q197,8))&lt;=0.25,8,""))))</f>
        <v/>
      </c>
      <c r="V197" s="9" t="str">
        <f aca="false">IF(OR(Q197="",T197=""),"",IF(MIN(MOD((Q197+T197),32),32-MOD((Q197+T197),32))&lt;=0.25,32,IF(MIN(MOD((Q197+T197),16),16-MOD((Q197+T197),16))&lt;=0.25,16,IF(MIN(MOD((Q197+T197),8),8-MOD((Q197+T197),8))&lt;=0.25,8,""))))</f>
        <v/>
      </c>
    </row>
    <row r="198" customFormat="false" ht="1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9" t="str">
        <f aca="false">IF(A198="","",IFERROR(INDEX(Tracks!$E$2:$E$41,MATCH(A198,Tracks!$A$2:$A$41,0)),"?"))</f>
        <v/>
      </c>
      <c r="P198" s="9" t="str">
        <f aca="false">IF(A198="","",IFERROR(N(INDEX(Tracks!$F$2:$F$41,MATCH(A198,Tracks!$A$2:$A$41,0))),""))</f>
        <v/>
      </c>
      <c r="Q198" s="10" t="str">
        <f aca="false">IF(D198&lt;&gt;"",D198-1,IF(OR(A198="",C198="",N(P198)&lt;=0),"",(N(B198)*60+C198-IFERROR(N(INDEX(Tracks!$G$2:$G$41,MATCH(A198,Tracks!$A$2:$A$41,0))),0))*P198/240))</f>
        <v/>
      </c>
      <c r="R198" s="9" t="str">
        <f aca="false">IF(Q198="","",INT(Q198)+1)</f>
        <v/>
      </c>
      <c r="S198" s="10" t="str">
        <f aca="false">IF(OR(Q198="",D198&lt;&gt;""),"",MIN(4.75,ROUND((Q198-INT(Q198))*16,0)/4+1))</f>
        <v/>
      </c>
      <c r="T198" s="11" t="str">
        <f aca="false">IF(OR(E198="",N(P198)&lt;=0),"",E198*P198/240)</f>
        <v/>
      </c>
      <c r="U198" s="9" t="str">
        <f aca="false">IF(Q198="","",IF(MIN(MOD(Q198,32),32-MOD(Q198,32))&lt;=0.25,32,IF(MIN(MOD(Q198,16),16-MOD(Q198,16))&lt;=0.25,16,IF(MIN(MOD(Q198,8),8-MOD(Q198,8))&lt;=0.25,8,""))))</f>
        <v/>
      </c>
      <c r="V198" s="9" t="str">
        <f aca="false">IF(OR(Q198="",T198=""),"",IF(MIN(MOD((Q198+T198),32),32-MOD((Q198+T198),32))&lt;=0.25,32,IF(MIN(MOD((Q198+T198),16),16-MOD((Q198+T198),16))&lt;=0.25,16,IF(MIN(MOD((Q198+T198),8),8-MOD((Q198+T198),8))&lt;=0.25,8,""))))</f>
        <v/>
      </c>
    </row>
    <row r="199" customFormat="false" ht="1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9" t="str">
        <f aca="false">IF(A199="","",IFERROR(INDEX(Tracks!$E$2:$E$41,MATCH(A199,Tracks!$A$2:$A$41,0)),"?"))</f>
        <v/>
      </c>
      <c r="P199" s="9" t="str">
        <f aca="false">IF(A199="","",IFERROR(N(INDEX(Tracks!$F$2:$F$41,MATCH(A199,Tracks!$A$2:$A$41,0))),""))</f>
        <v/>
      </c>
      <c r="Q199" s="10" t="str">
        <f aca="false">IF(D199&lt;&gt;"",D199-1,IF(OR(A199="",C199="",N(P199)&lt;=0),"",(N(B199)*60+C199-IFERROR(N(INDEX(Tracks!$G$2:$G$41,MATCH(A199,Tracks!$A$2:$A$41,0))),0))*P199/240))</f>
        <v/>
      </c>
      <c r="R199" s="9" t="str">
        <f aca="false">IF(Q199="","",INT(Q199)+1)</f>
        <v/>
      </c>
      <c r="S199" s="10" t="str">
        <f aca="false">IF(OR(Q199="",D199&lt;&gt;""),"",MIN(4.75,ROUND((Q199-INT(Q199))*16,0)/4+1))</f>
        <v/>
      </c>
      <c r="T199" s="11" t="str">
        <f aca="false">IF(OR(E199="",N(P199)&lt;=0),"",E199*P199/240)</f>
        <v/>
      </c>
      <c r="U199" s="9" t="str">
        <f aca="false">IF(Q199="","",IF(MIN(MOD(Q199,32),32-MOD(Q199,32))&lt;=0.25,32,IF(MIN(MOD(Q199,16),16-MOD(Q199,16))&lt;=0.25,16,IF(MIN(MOD(Q199,8),8-MOD(Q199,8))&lt;=0.25,8,""))))</f>
        <v/>
      </c>
      <c r="V199" s="9" t="str">
        <f aca="false">IF(OR(Q199="",T199=""),"",IF(MIN(MOD((Q199+T199),32),32-MOD((Q199+T199),32))&lt;=0.25,32,IF(MIN(MOD((Q199+T199),16),16-MOD((Q199+T199),16))&lt;=0.25,16,IF(MIN(MOD((Q199+T199),8),8-MOD((Q199+T199),8))&lt;=0.25,8,""))))</f>
        <v/>
      </c>
    </row>
    <row r="200" customFormat="false" ht="1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9" t="str">
        <f aca="false">IF(A200="","",IFERROR(INDEX(Tracks!$E$2:$E$41,MATCH(A200,Tracks!$A$2:$A$41,0)),"?"))</f>
        <v/>
      </c>
      <c r="P200" s="9" t="str">
        <f aca="false">IF(A200="","",IFERROR(N(INDEX(Tracks!$F$2:$F$41,MATCH(A200,Tracks!$A$2:$A$41,0))),""))</f>
        <v/>
      </c>
      <c r="Q200" s="10" t="str">
        <f aca="false">IF(D200&lt;&gt;"",D200-1,IF(OR(A200="",C200="",N(P200)&lt;=0),"",(N(B200)*60+C200-IFERROR(N(INDEX(Tracks!$G$2:$G$41,MATCH(A200,Tracks!$A$2:$A$41,0))),0))*P200/240))</f>
        <v/>
      </c>
      <c r="R200" s="9" t="str">
        <f aca="false">IF(Q200="","",INT(Q200)+1)</f>
        <v/>
      </c>
      <c r="S200" s="10" t="str">
        <f aca="false">IF(OR(Q200="",D200&lt;&gt;""),"",MIN(4.75,ROUND((Q200-INT(Q200))*16,0)/4+1))</f>
        <v/>
      </c>
      <c r="T200" s="11" t="str">
        <f aca="false">IF(OR(E200="",N(P200)&lt;=0),"",E200*P200/240)</f>
        <v/>
      </c>
      <c r="U200" s="9" t="str">
        <f aca="false">IF(Q200="","",IF(MIN(MOD(Q200,32),32-MOD(Q200,32))&lt;=0.25,32,IF(MIN(MOD(Q200,16),16-MOD(Q200,16))&lt;=0.25,16,IF(MIN(MOD(Q200,8),8-MOD(Q200,8))&lt;=0.25,8,""))))</f>
        <v/>
      </c>
      <c r="V200" s="9" t="str">
        <f aca="false">IF(OR(Q200="",T200=""),"",IF(MIN(MOD((Q200+T200),32),32-MOD((Q200+T200),32))&lt;=0.25,32,IF(MIN(MOD((Q200+T200),16),16-MOD((Q200+T200),16))&lt;=0.25,16,IF(MIN(MOD((Q200+T200),8),8-MOD((Q200+T200),8))&lt;=0.25,8,""))))</f>
        <v/>
      </c>
    </row>
    <row r="201" customFormat="false" ht="1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9" t="str">
        <f aca="false">IF(A201="","",IFERROR(INDEX(Tracks!$E$2:$E$41,MATCH(A201,Tracks!$A$2:$A$41,0)),"?"))</f>
        <v/>
      </c>
      <c r="P201" s="9" t="str">
        <f aca="false">IF(A201="","",IFERROR(N(INDEX(Tracks!$F$2:$F$41,MATCH(A201,Tracks!$A$2:$A$41,0))),""))</f>
        <v/>
      </c>
      <c r="Q201" s="10" t="str">
        <f aca="false">IF(D201&lt;&gt;"",D201-1,IF(OR(A201="",C201="",N(P201)&lt;=0),"",(N(B201)*60+C201-IFERROR(N(INDEX(Tracks!$G$2:$G$41,MATCH(A201,Tracks!$A$2:$A$41,0))),0))*P201/240))</f>
        <v/>
      </c>
      <c r="R201" s="9" t="str">
        <f aca="false">IF(Q201="","",INT(Q201)+1)</f>
        <v/>
      </c>
      <c r="S201" s="10" t="str">
        <f aca="false">IF(OR(Q201="",D201&lt;&gt;""),"",MIN(4.75,ROUND((Q201-INT(Q201))*16,0)/4+1))</f>
        <v/>
      </c>
      <c r="T201" s="11" t="str">
        <f aca="false">IF(OR(E201="",N(P201)&lt;=0),"",E201*P201/240)</f>
        <v/>
      </c>
      <c r="U201" s="9" t="str">
        <f aca="false">IF(Q201="","",IF(MIN(MOD(Q201,32),32-MOD(Q201,32))&lt;=0.25,32,IF(MIN(MOD(Q201,16),16-MOD(Q201,16))&lt;=0.25,16,IF(MIN(MOD(Q201,8),8-MOD(Q201,8))&lt;=0.25,8,""))))</f>
        <v/>
      </c>
      <c r="V201" s="9" t="str">
        <f aca="false">IF(OR(Q201="",T201=""),"",IF(MIN(MOD((Q201+T201),32),32-MOD((Q201+T201),32))&lt;=0.25,32,IF(MIN(MOD((Q201+T201),16),16-MOD((Q201+T201),16))&lt;=0.25,16,IF(MIN(MOD((Q201+T201),8),8-MOD((Q201+T201),8))&lt;=0.25,8,""))))</f>
        <v/>
      </c>
    </row>
    <row r="202" customFormat="false" ht="1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9" t="str">
        <f aca="false">IF(A202="","",IFERROR(INDEX(Tracks!$E$2:$E$41,MATCH(A202,Tracks!$A$2:$A$41,0)),"?"))</f>
        <v/>
      </c>
      <c r="P202" s="9" t="str">
        <f aca="false">IF(A202="","",IFERROR(N(INDEX(Tracks!$F$2:$F$41,MATCH(A202,Tracks!$A$2:$A$41,0))),""))</f>
        <v/>
      </c>
      <c r="Q202" s="10" t="str">
        <f aca="false">IF(D202&lt;&gt;"",D202-1,IF(OR(A202="",C202="",N(P202)&lt;=0),"",(N(B202)*60+C202-IFERROR(N(INDEX(Tracks!$G$2:$G$41,MATCH(A202,Tracks!$A$2:$A$41,0))),0))*P202/240))</f>
        <v/>
      </c>
      <c r="R202" s="9" t="str">
        <f aca="false">IF(Q202="","",INT(Q202)+1)</f>
        <v/>
      </c>
      <c r="S202" s="10" t="str">
        <f aca="false">IF(OR(Q202="",D202&lt;&gt;""),"",MIN(4.75,ROUND((Q202-INT(Q202))*16,0)/4+1))</f>
        <v/>
      </c>
      <c r="T202" s="11" t="str">
        <f aca="false">IF(OR(E202="",N(P202)&lt;=0),"",E202*P202/240)</f>
        <v/>
      </c>
      <c r="U202" s="9" t="str">
        <f aca="false">IF(Q202="","",IF(MIN(MOD(Q202,32),32-MOD(Q202,32))&lt;=0.25,32,IF(MIN(MOD(Q202,16),16-MOD(Q202,16))&lt;=0.25,16,IF(MIN(MOD(Q202,8),8-MOD(Q202,8))&lt;=0.25,8,""))))</f>
        <v/>
      </c>
      <c r="V202" s="9" t="str">
        <f aca="false">IF(OR(Q202="",T202=""),"",IF(MIN(MOD((Q202+T202),32),32-MOD((Q202+T202),32))&lt;=0.25,32,IF(MIN(MOD((Q202+T202),16),16-MOD((Q202+T202),16))&lt;=0.25,16,IF(MIN(MOD((Q202+T202),8),8-MOD((Q202+T202),8))&lt;=0.25,8,""))))</f>
        <v/>
      </c>
    </row>
    <row r="203" customFormat="false" ht="1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9" t="str">
        <f aca="false">IF(A203="","",IFERROR(INDEX(Tracks!$E$2:$E$41,MATCH(A203,Tracks!$A$2:$A$41,0)),"?"))</f>
        <v/>
      </c>
      <c r="P203" s="9" t="str">
        <f aca="false">IF(A203="","",IFERROR(N(INDEX(Tracks!$F$2:$F$41,MATCH(A203,Tracks!$A$2:$A$41,0))),""))</f>
        <v/>
      </c>
      <c r="Q203" s="10" t="str">
        <f aca="false">IF(D203&lt;&gt;"",D203-1,IF(OR(A203="",C203="",N(P203)&lt;=0),"",(N(B203)*60+C203-IFERROR(N(INDEX(Tracks!$G$2:$G$41,MATCH(A203,Tracks!$A$2:$A$41,0))),0))*P203/240))</f>
        <v/>
      </c>
      <c r="R203" s="9" t="str">
        <f aca="false">IF(Q203="","",INT(Q203)+1)</f>
        <v/>
      </c>
      <c r="S203" s="10" t="str">
        <f aca="false">IF(OR(Q203="",D203&lt;&gt;""),"",MIN(4.75,ROUND((Q203-INT(Q203))*16,0)/4+1))</f>
        <v/>
      </c>
      <c r="T203" s="11" t="str">
        <f aca="false">IF(OR(E203="",N(P203)&lt;=0),"",E203*P203/240)</f>
        <v/>
      </c>
      <c r="U203" s="9" t="str">
        <f aca="false">IF(Q203="","",IF(MIN(MOD(Q203,32),32-MOD(Q203,32))&lt;=0.25,32,IF(MIN(MOD(Q203,16),16-MOD(Q203,16))&lt;=0.25,16,IF(MIN(MOD(Q203,8),8-MOD(Q203,8))&lt;=0.25,8,""))))</f>
        <v/>
      </c>
      <c r="V203" s="9" t="str">
        <f aca="false">IF(OR(Q203="",T203=""),"",IF(MIN(MOD((Q203+T203),32),32-MOD((Q203+T203),32))&lt;=0.25,32,IF(MIN(MOD((Q203+T203),16),16-MOD((Q203+T203),16))&lt;=0.25,16,IF(MIN(MOD((Q203+T203),8),8-MOD((Q203+T203),8))&lt;=0.25,8,""))))</f>
        <v/>
      </c>
    </row>
    <row r="204" customFormat="false" ht="1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9" t="str">
        <f aca="false">IF(A204="","",IFERROR(INDEX(Tracks!$E$2:$E$41,MATCH(A204,Tracks!$A$2:$A$41,0)),"?"))</f>
        <v/>
      </c>
      <c r="P204" s="9" t="str">
        <f aca="false">IF(A204="","",IFERROR(N(INDEX(Tracks!$F$2:$F$41,MATCH(A204,Tracks!$A$2:$A$41,0))),""))</f>
        <v/>
      </c>
      <c r="Q204" s="10" t="str">
        <f aca="false">IF(D204&lt;&gt;"",D204-1,IF(OR(A204="",C204="",N(P204)&lt;=0),"",(N(B204)*60+C204-IFERROR(N(INDEX(Tracks!$G$2:$G$41,MATCH(A204,Tracks!$A$2:$A$41,0))),0))*P204/240))</f>
        <v/>
      </c>
      <c r="R204" s="9" t="str">
        <f aca="false">IF(Q204="","",INT(Q204)+1)</f>
        <v/>
      </c>
      <c r="S204" s="10" t="str">
        <f aca="false">IF(OR(Q204="",D204&lt;&gt;""),"",MIN(4.75,ROUND((Q204-INT(Q204))*16,0)/4+1))</f>
        <v/>
      </c>
      <c r="T204" s="11" t="str">
        <f aca="false">IF(OR(E204="",N(P204)&lt;=0),"",E204*P204/240)</f>
        <v/>
      </c>
      <c r="U204" s="9" t="str">
        <f aca="false">IF(Q204="","",IF(MIN(MOD(Q204,32),32-MOD(Q204,32))&lt;=0.25,32,IF(MIN(MOD(Q204,16),16-MOD(Q204,16))&lt;=0.25,16,IF(MIN(MOD(Q204,8),8-MOD(Q204,8))&lt;=0.25,8,""))))</f>
        <v/>
      </c>
      <c r="V204" s="9" t="str">
        <f aca="false">IF(OR(Q204="",T204=""),"",IF(MIN(MOD((Q204+T204),32),32-MOD((Q204+T204),32))&lt;=0.25,32,IF(MIN(MOD((Q204+T204),16),16-MOD((Q204+T204),16))&lt;=0.25,16,IF(MIN(MOD((Q204+T204),8),8-MOD((Q204+T204),8))&lt;=0.25,8,""))))</f>
        <v/>
      </c>
    </row>
    <row r="205" customFormat="false" ht="1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9" t="str">
        <f aca="false">IF(A205="","",IFERROR(INDEX(Tracks!$E$2:$E$41,MATCH(A205,Tracks!$A$2:$A$41,0)),"?"))</f>
        <v/>
      </c>
      <c r="P205" s="9" t="str">
        <f aca="false">IF(A205="","",IFERROR(N(INDEX(Tracks!$F$2:$F$41,MATCH(A205,Tracks!$A$2:$A$41,0))),""))</f>
        <v/>
      </c>
      <c r="Q205" s="10" t="str">
        <f aca="false">IF(D205&lt;&gt;"",D205-1,IF(OR(A205="",C205="",N(P205)&lt;=0),"",(N(B205)*60+C205-IFERROR(N(INDEX(Tracks!$G$2:$G$41,MATCH(A205,Tracks!$A$2:$A$41,0))),0))*P205/240))</f>
        <v/>
      </c>
      <c r="R205" s="9" t="str">
        <f aca="false">IF(Q205="","",INT(Q205)+1)</f>
        <v/>
      </c>
      <c r="S205" s="10" t="str">
        <f aca="false">IF(OR(Q205="",D205&lt;&gt;""),"",MIN(4.75,ROUND((Q205-INT(Q205))*16,0)/4+1))</f>
        <v/>
      </c>
      <c r="T205" s="11" t="str">
        <f aca="false">IF(OR(E205="",N(P205)&lt;=0),"",E205*P205/240)</f>
        <v/>
      </c>
      <c r="U205" s="9" t="str">
        <f aca="false">IF(Q205="","",IF(MIN(MOD(Q205,32),32-MOD(Q205,32))&lt;=0.25,32,IF(MIN(MOD(Q205,16),16-MOD(Q205,16))&lt;=0.25,16,IF(MIN(MOD(Q205,8),8-MOD(Q205,8))&lt;=0.25,8,""))))</f>
        <v/>
      </c>
      <c r="V205" s="9" t="str">
        <f aca="false">IF(OR(Q205="",T205=""),"",IF(MIN(MOD((Q205+T205),32),32-MOD((Q205+T205),32))&lt;=0.25,32,IF(MIN(MOD((Q205+T205),16),16-MOD((Q205+T205),16))&lt;=0.25,16,IF(MIN(MOD((Q205+T205),8),8-MOD((Q205+T205),8))&lt;=0.25,8,""))))</f>
        <v/>
      </c>
    </row>
    <row r="206" customFormat="false" ht="1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9" t="str">
        <f aca="false">IF(A206="","",IFERROR(INDEX(Tracks!$E$2:$E$41,MATCH(A206,Tracks!$A$2:$A$41,0)),"?"))</f>
        <v/>
      </c>
      <c r="P206" s="9" t="str">
        <f aca="false">IF(A206="","",IFERROR(N(INDEX(Tracks!$F$2:$F$41,MATCH(A206,Tracks!$A$2:$A$41,0))),""))</f>
        <v/>
      </c>
      <c r="Q206" s="10" t="str">
        <f aca="false">IF(D206&lt;&gt;"",D206-1,IF(OR(A206="",C206="",N(P206)&lt;=0),"",(N(B206)*60+C206-IFERROR(N(INDEX(Tracks!$G$2:$G$41,MATCH(A206,Tracks!$A$2:$A$41,0))),0))*P206/240))</f>
        <v/>
      </c>
      <c r="R206" s="9" t="str">
        <f aca="false">IF(Q206="","",INT(Q206)+1)</f>
        <v/>
      </c>
      <c r="S206" s="10" t="str">
        <f aca="false">IF(OR(Q206="",D206&lt;&gt;""),"",MIN(4.75,ROUND((Q206-INT(Q206))*16,0)/4+1))</f>
        <v/>
      </c>
      <c r="T206" s="11" t="str">
        <f aca="false">IF(OR(E206="",N(P206)&lt;=0),"",E206*P206/240)</f>
        <v/>
      </c>
      <c r="U206" s="9" t="str">
        <f aca="false">IF(Q206="","",IF(MIN(MOD(Q206,32),32-MOD(Q206,32))&lt;=0.25,32,IF(MIN(MOD(Q206,16),16-MOD(Q206,16))&lt;=0.25,16,IF(MIN(MOD(Q206,8),8-MOD(Q206,8))&lt;=0.25,8,""))))</f>
        <v/>
      </c>
      <c r="V206" s="9" t="str">
        <f aca="false">IF(OR(Q206="",T206=""),"",IF(MIN(MOD((Q206+T206),32),32-MOD((Q206+T206),32))&lt;=0.25,32,IF(MIN(MOD((Q206+T206),16),16-MOD((Q206+T206),16))&lt;=0.25,16,IF(MIN(MOD((Q206+T206),8),8-MOD((Q206+T206),8))&lt;=0.25,8,""))))</f>
        <v/>
      </c>
    </row>
    <row r="207" customFormat="false" ht="1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9" t="str">
        <f aca="false">IF(A207="","",IFERROR(INDEX(Tracks!$E$2:$E$41,MATCH(A207,Tracks!$A$2:$A$41,0)),"?"))</f>
        <v/>
      </c>
      <c r="P207" s="9" t="str">
        <f aca="false">IF(A207="","",IFERROR(N(INDEX(Tracks!$F$2:$F$41,MATCH(A207,Tracks!$A$2:$A$41,0))),""))</f>
        <v/>
      </c>
      <c r="Q207" s="10" t="str">
        <f aca="false">IF(D207&lt;&gt;"",D207-1,IF(OR(A207="",C207="",N(P207)&lt;=0),"",(N(B207)*60+C207-IFERROR(N(INDEX(Tracks!$G$2:$G$41,MATCH(A207,Tracks!$A$2:$A$41,0))),0))*P207/240))</f>
        <v/>
      </c>
      <c r="R207" s="9" t="str">
        <f aca="false">IF(Q207="","",INT(Q207)+1)</f>
        <v/>
      </c>
      <c r="S207" s="10" t="str">
        <f aca="false">IF(OR(Q207="",D207&lt;&gt;""),"",MIN(4.75,ROUND((Q207-INT(Q207))*16,0)/4+1))</f>
        <v/>
      </c>
      <c r="T207" s="11" t="str">
        <f aca="false">IF(OR(E207="",N(P207)&lt;=0),"",E207*P207/240)</f>
        <v/>
      </c>
      <c r="U207" s="9" t="str">
        <f aca="false">IF(Q207="","",IF(MIN(MOD(Q207,32),32-MOD(Q207,32))&lt;=0.25,32,IF(MIN(MOD(Q207,16),16-MOD(Q207,16))&lt;=0.25,16,IF(MIN(MOD(Q207,8),8-MOD(Q207,8))&lt;=0.25,8,""))))</f>
        <v/>
      </c>
      <c r="V207" s="9" t="str">
        <f aca="false">IF(OR(Q207="",T207=""),"",IF(MIN(MOD((Q207+T207),32),32-MOD((Q207+T207),32))&lt;=0.25,32,IF(MIN(MOD((Q207+T207),16),16-MOD((Q207+T207),16))&lt;=0.25,16,IF(MIN(MOD((Q207+T207),8),8-MOD((Q207+T207),8))&lt;=0.25,8,""))))</f>
        <v/>
      </c>
    </row>
    <row r="208" customFormat="false" ht="1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9" t="str">
        <f aca="false">IF(A208="","",IFERROR(INDEX(Tracks!$E$2:$E$41,MATCH(A208,Tracks!$A$2:$A$41,0)),"?"))</f>
        <v/>
      </c>
      <c r="P208" s="9" t="str">
        <f aca="false">IF(A208="","",IFERROR(N(INDEX(Tracks!$F$2:$F$41,MATCH(A208,Tracks!$A$2:$A$41,0))),""))</f>
        <v/>
      </c>
      <c r="Q208" s="10" t="str">
        <f aca="false">IF(D208&lt;&gt;"",D208-1,IF(OR(A208="",C208="",N(P208)&lt;=0),"",(N(B208)*60+C208-IFERROR(N(INDEX(Tracks!$G$2:$G$41,MATCH(A208,Tracks!$A$2:$A$41,0))),0))*P208/240))</f>
        <v/>
      </c>
      <c r="R208" s="9" t="str">
        <f aca="false">IF(Q208="","",INT(Q208)+1)</f>
        <v/>
      </c>
      <c r="S208" s="10" t="str">
        <f aca="false">IF(OR(Q208="",D208&lt;&gt;""),"",MIN(4.75,ROUND((Q208-INT(Q208))*16,0)/4+1))</f>
        <v/>
      </c>
      <c r="T208" s="11" t="str">
        <f aca="false">IF(OR(E208="",N(P208)&lt;=0),"",E208*P208/240)</f>
        <v/>
      </c>
      <c r="U208" s="9" t="str">
        <f aca="false">IF(Q208="","",IF(MIN(MOD(Q208,32),32-MOD(Q208,32))&lt;=0.25,32,IF(MIN(MOD(Q208,16),16-MOD(Q208,16))&lt;=0.25,16,IF(MIN(MOD(Q208,8),8-MOD(Q208,8))&lt;=0.25,8,""))))</f>
        <v/>
      </c>
      <c r="V208" s="9" t="str">
        <f aca="false">IF(OR(Q208="",T208=""),"",IF(MIN(MOD((Q208+T208),32),32-MOD((Q208+T208),32))&lt;=0.25,32,IF(MIN(MOD((Q208+T208),16),16-MOD((Q208+T208),16))&lt;=0.25,16,IF(MIN(MOD((Q208+T208),8),8-MOD((Q208+T208),8))&lt;=0.25,8,""))))</f>
        <v/>
      </c>
    </row>
    <row r="209" customFormat="false" ht="1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9" t="str">
        <f aca="false">IF(A209="","",IFERROR(INDEX(Tracks!$E$2:$E$41,MATCH(A209,Tracks!$A$2:$A$41,0)),"?"))</f>
        <v/>
      </c>
      <c r="P209" s="9" t="str">
        <f aca="false">IF(A209="","",IFERROR(N(INDEX(Tracks!$F$2:$F$41,MATCH(A209,Tracks!$A$2:$A$41,0))),""))</f>
        <v/>
      </c>
      <c r="Q209" s="10" t="str">
        <f aca="false">IF(D209&lt;&gt;"",D209-1,IF(OR(A209="",C209="",N(P209)&lt;=0),"",(N(B209)*60+C209-IFERROR(N(INDEX(Tracks!$G$2:$G$41,MATCH(A209,Tracks!$A$2:$A$41,0))),0))*P209/240))</f>
        <v/>
      </c>
      <c r="R209" s="9" t="str">
        <f aca="false">IF(Q209="","",INT(Q209)+1)</f>
        <v/>
      </c>
      <c r="S209" s="10" t="str">
        <f aca="false">IF(OR(Q209="",D209&lt;&gt;""),"",MIN(4.75,ROUND((Q209-INT(Q209))*16,0)/4+1))</f>
        <v/>
      </c>
      <c r="T209" s="11" t="str">
        <f aca="false">IF(OR(E209="",N(P209)&lt;=0),"",E209*P209/240)</f>
        <v/>
      </c>
      <c r="U209" s="9" t="str">
        <f aca="false">IF(Q209="","",IF(MIN(MOD(Q209,32),32-MOD(Q209,32))&lt;=0.25,32,IF(MIN(MOD(Q209,16),16-MOD(Q209,16))&lt;=0.25,16,IF(MIN(MOD(Q209,8),8-MOD(Q209,8))&lt;=0.25,8,""))))</f>
        <v/>
      </c>
      <c r="V209" s="9" t="str">
        <f aca="false">IF(OR(Q209="",T209=""),"",IF(MIN(MOD((Q209+T209),32),32-MOD((Q209+T209),32))&lt;=0.25,32,IF(MIN(MOD((Q209+T209),16),16-MOD((Q209+T209),16))&lt;=0.25,16,IF(MIN(MOD((Q209+T209),8),8-MOD((Q209+T209),8))&lt;=0.25,8,""))))</f>
        <v/>
      </c>
    </row>
    <row r="210" customFormat="false" ht="1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9" t="str">
        <f aca="false">IF(A210="","",IFERROR(INDEX(Tracks!$E$2:$E$41,MATCH(A210,Tracks!$A$2:$A$41,0)),"?"))</f>
        <v/>
      </c>
      <c r="P210" s="9" t="str">
        <f aca="false">IF(A210="","",IFERROR(N(INDEX(Tracks!$F$2:$F$41,MATCH(A210,Tracks!$A$2:$A$41,0))),""))</f>
        <v/>
      </c>
      <c r="Q210" s="10" t="str">
        <f aca="false">IF(D210&lt;&gt;"",D210-1,IF(OR(A210="",C210="",N(P210)&lt;=0),"",(N(B210)*60+C210-IFERROR(N(INDEX(Tracks!$G$2:$G$41,MATCH(A210,Tracks!$A$2:$A$41,0))),0))*P210/240))</f>
        <v/>
      </c>
      <c r="R210" s="9" t="str">
        <f aca="false">IF(Q210="","",INT(Q210)+1)</f>
        <v/>
      </c>
      <c r="S210" s="10" t="str">
        <f aca="false">IF(OR(Q210="",D210&lt;&gt;""),"",MIN(4.75,ROUND((Q210-INT(Q210))*16,0)/4+1))</f>
        <v/>
      </c>
      <c r="T210" s="11" t="str">
        <f aca="false">IF(OR(E210="",N(P210)&lt;=0),"",E210*P210/240)</f>
        <v/>
      </c>
      <c r="U210" s="9" t="str">
        <f aca="false">IF(Q210="","",IF(MIN(MOD(Q210,32),32-MOD(Q210,32))&lt;=0.25,32,IF(MIN(MOD(Q210,16),16-MOD(Q210,16))&lt;=0.25,16,IF(MIN(MOD(Q210,8),8-MOD(Q210,8))&lt;=0.25,8,""))))</f>
        <v/>
      </c>
      <c r="V210" s="9" t="str">
        <f aca="false">IF(OR(Q210="",T210=""),"",IF(MIN(MOD((Q210+T210),32),32-MOD((Q210+T210),32))&lt;=0.25,32,IF(MIN(MOD((Q210+T210),16),16-MOD((Q210+T210),16))&lt;=0.25,16,IF(MIN(MOD((Q210+T210),8),8-MOD((Q210+T210),8))&lt;=0.25,8,""))))</f>
        <v/>
      </c>
    </row>
    <row r="211" customFormat="false" ht="1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9" t="str">
        <f aca="false">IF(A211="","",IFERROR(INDEX(Tracks!$E$2:$E$41,MATCH(A211,Tracks!$A$2:$A$41,0)),"?"))</f>
        <v/>
      </c>
      <c r="P211" s="9" t="str">
        <f aca="false">IF(A211="","",IFERROR(N(INDEX(Tracks!$F$2:$F$41,MATCH(A211,Tracks!$A$2:$A$41,0))),""))</f>
        <v/>
      </c>
      <c r="Q211" s="10" t="str">
        <f aca="false">IF(D211&lt;&gt;"",D211-1,IF(OR(A211="",C211="",N(P211)&lt;=0),"",(N(B211)*60+C211-IFERROR(N(INDEX(Tracks!$G$2:$G$41,MATCH(A211,Tracks!$A$2:$A$41,0))),0))*P211/240))</f>
        <v/>
      </c>
      <c r="R211" s="9" t="str">
        <f aca="false">IF(Q211="","",INT(Q211)+1)</f>
        <v/>
      </c>
      <c r="S211" s="10" t="str">
        <f aca="false">IF(OR(Q211="",D211&lt;&gt;""),"",MIN(4.75,ROUND((Q211-INT(Q211))*16,0)/4+1))</f>
        <v/>
      </c>
      <c r="T211" s="11" t="str">
        <f aca="false">IF(OR(E211="",N(P211)&lt;=0),"",E211*P211/240)</f>
        <v/>
      </c>
      <c r="U211" s="9" t="str">
        <f aca="false">IF(Q211="","",IF(MIN(MOD(Q211,32),32-MOD(Q211,32))&lt;=0.25,32,IF(MIN(MOD(Q211,16),16-MOD(Q211,16))&lt;=0.25,16,IF(MIN(MOD(Q211,8),8-MOD(Q211,8))&lt;=0.25,8,""))))</f>
        <v/>
      </c>
      <c r="V211" s="9" t="str">
        <f aca="false">IF(OR(Q211="",T211=""),"",IF(MIN(MOD((Q211+T211),32),32-MOD((Q211+T211),32))&lt;=0.25,32,IF(MIN(MOD((Q211+T211),16),16-MOD((Q211+T211),16))&lt;=0.25,16,IF(MIN(MOD((Q211+T211),8),8-MOD((Q211+T211),8))&lt;=0.25,8,""))))</f>
        <v/>
      </c>
    </row>
    <row r="212" customFormat="false" ht="1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9" t="str">
        <f aca="false">IF(A212="","",IFERROR(INDEX(Tracks!$E$2:$E$41,MATCH(A212,Tracks!$A$2:$A$41,0)),"?"))</f>
        <v/>
      </c>
      <c r="P212" s="9" t="str">
        <f aca="false">IF(A212="","",IFERROR(N(INDEX(Tracks!$F$2:$F$41,MATCH(A212,Tracks!$A$2:$A$41,0))),""))</f>
        <v/>
      </c>
      <c r="Q212" s="10" t="str">
        <f aca="false">IF(D212&lt;&gt;"",D212-1,IF(OR(A212="",C212="",N(P212)&lt;=0),"",(N(B212)*60+C212-IFERROR(N(INDEX(Tracks!$G$2:$G$41,MATCH(A212,Tracks!$A$2:$A$41,0))),0))*P212/240))</f>
        <v/>
      </c>
      <c r="R212" s="9" t="str">
        <f aca="false">IF(Q212="","",INT(Q212)+1)</f>
        <v/>
      </c>
      <c r="S212" s="10" t="str">
        <f aca="false">IF(OR(Q212="",D212&lt;&gt;""),"",MIN(4.75,ROUND((Q212-INT(Q212))*16,0)/4+1))</f>
        <v/>
      </c>
      <c r="T212" s="11" t="str">
        <f aca="false">IF(OR(E212="",N(P212)&lt;=0),"",E212*P212/240)</f>
        <v/>
      </c>
      <c r="U212" s="9" t="str">
        <f aca="false">IF(Q212="","",IF(MIN(MOD(Q212,32),32-MOD(Q212,32))&lt;=0.25,32,IF(MIN(MOD(Q212,16),16-MOD(Q212,16))&lt;=0.25,16,IF(MIN(MOD(Q212,8),8-MOD(Q212,8))&lt;=0.25,8,""))))</f>
        <v/>
      </c>
      <c r="V212" s="9" t="str">
        <f aca="false">IF(OR(Q212="",T212=""),"",IF(MIN(MOD((Q212+T212),32),32-MOD((Q212+T212),32))&lt;=0.25,32,IF(MIN(MOD((Q212+T212),16),16-MOD((Q212+T212),16))&lt;=0.25,16,IF(MIN(MOD((Q212+T212),8),8-MOD((Q212+T212),8))&lt;=0.25,8,""))))</f>
        <v/>
      </c>
    </row>
    <row r="213" customFormat="false" ht="1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9" t="str">
        <f aca="false">IF(A213="","",IFERROR(INDEX(Tracks!$E$2:$E$41,MATCH(A213,Tracks!$A$2:$A$41,0)),"?"))</f>
        <v/>
      </c>
      <c r="P213" s="9" t="str">
        <f aca="false">IF(A213="","",IFERROR(N(INDEX(Tracks!$F$2:$F$41,MATCH(A213,Tracks!$A$2:$A$41,0))),""))</f>
        <v/>
      </c>
      <c r="Q213" s="10" t="str">
        <f aca="false">IF(D213&lt;&gt;"",D213-1,IF(OR(A213="",C213="",N(P213)&lt;=0),"",(N(B213)*60+C213-IFERROR(N(INDEX(Tracks!$G$2:$G$41,MATCH(A213,Tracks!$A$2:$A$41,0))),0))*P213/240))</f>
        <v/>
      </c>
      <c r="R213" s="9" t="str">
        <f aca="false">IF(Q213="","",INT(Q213)+1)</f>
        <v/>
      </c>
      <c r="S213" s="10" t="str">
        <f aca="false">IF(OR(Q213="",D213&lt;&gt;""),"",MIN(4.75,ROUND((Q213-INT(Q213))*16,0)/4+1))</f>
        <v/>
      </c>
      <c r="T213" s="11" t="str">
        <f aca="false">IF(OR(E213="",N(P213)&lt;=0),"",E213*P213/240)</f>
        <v/>
      </c>
      <c r="U213" s="9" t="str">
        <f aca="false">IF(Q213="","",IF(MIN(MOD(Q213,32),32-MOD(Q213,32))&lt;=0.25,32,IF(MIN(MOD(Q213,16),16-MOD(Q213,16))&lt;=0.25,16,IF(MIN(MOD(Q213,8),8-MOD(Q213,8))&lt;=0.25,8,""))))</f>
        <v/>
      </c>
      <c r="V213" s="9" t="str">
        <f aca="false">IF(OR(Q213="",T213=""),"",IF(MIN(MOD((Q213+T213),32),32-MOD((Q213+T213),32))&lt;=0.25,32,IF(MIN(MOD((Q213+T213),16),16-MOD((Q213+T213),16))&lt;=0.25,16,IF(MIN(MOD((Q213+T213),8),8-MOD((Q213+T213),8))&lt;=0.25,8,""))))</f>
        <v/>
      </c>
    </row>
    <row r="214" customFormat="false" ht="1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9" t="str">
        <f aca="false">IF(A214="","",IFERROR(INDEX(Tracks!$E$2:$E$41,MATCH(A214,Tracks!$A$2:$A$41,0)),"?"))</f>
        <v/>
      </c>
      <c r="P214" s="9" t="str">
        <f aca="false">IF(A214="","",IFERROR(N(INDEX(Tracks!$F$2:$F$41,MATCH(A214,Tracks!$A$2:$A$41,0))),""))</f>
        <v/>
      </c>
      <c r="Q214" s="10" t="str">
        <f aca="false">IF(D214&lt;&gt;"",D214-1,IF(OR(A214="",C214="",N(P214)&lt;=0),"",(N(B214)*60+C214-IFERROR(N(INDEX(Tracks!$G$2:$G$41,MATCH(A214,Tracks!$A$2:$A$41,0))),0))*P214/240))</f>
        <v/>
      </c>
      <c r="R214" s="9" t="str">
        <f aca="false">IF(Q214="","",INT(Q214)+1)</f>
        <v/>
      </c>
      <c r="S214" s="10" t="str">
        <f aca="false">IF(OR(Q214="",D214&lt;&gt;""),"",MIN(4.75,ROUND((Q214-INT(Q214))*16,0)/4+1))</f>
        <v/>
      </c>
      <c r="T214" s="11" t="str">
        <f aca="false">IF(OR(E214="",N(P214)&lt;=0),"",E214*P214/240)</f>
        <v/>
      </c>
      <c r="U214" s="9" t="str">
        <f aca="false">IF(Q214="","",IF(MIN(MOD(Q214,32),32-MOD(Q214,32))&lt;=0.25,32,IF(MIN(MOD(Q214,16),16-MOD(Q214,16))&lt;=0.25,16,IF(MIN(MOD(Q214,8),8-MOD(Q214,8))&lt;=0.25,8,""))))</f>
        <v/>
      </c>
      <c r="V214" s="9" t="str">
        <f aca="false">IF(OR(Q214="",T214=""),"",IF(MIN(MOD((Q214+T214),32),32-MOD((Q214+T214),32))&lt;=0.25,32,IF(MIN(MOD((Q214+T214),16),16-MOD((Q214+T214),16))&lt;=0.25,16,IF(MIN(MOD((Q214+T214),8),8-MOD((Q214+T214),8))&lt;=0.25,8,""))))</f>
        <v/>
      </c>
    </row>
    <row r="215" customFormat="false" ht="1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9" t="str">
        <f aca="false">IF(A215="","",IFERROR(INDEX(Tracks!$E$2:$E$41,MATCH(A215,Tracks!$A$2:$A$41,0)),"?"))</f>
        <v/>
      </c>
      <c r="P215" s="9" t="str">
        <f aca="false">IF(A215="","",IFERROR(N(INDEX(Tracks!$F$2:$F$41,MATCH(A215,Tracks!$A$2:$A$41,0))),""))</f>
        <v/>
      </c>
      <c r="Q215" s="10" t="str">
        <f aca="false">IF(D215&lt;&gt;"",D215-1,IF(OR(A215="",C215="",N(P215)&lt;=0),"",(N(B215)*60+C215-IFERROR(N(INDEX(Tracks!$G$2:$G$41,MATCH(A215,Tracks!$A$2:$A$41,0))),0))*P215/240))</f>
        <v/>
      </c>
      <c r="R215" s="9" t="str">
        <f aca="false">IF(Q215="","",INT(Q215)+1)</f>
        <v/>
      </c>
      <c r="S215" s="10" t="str">
        <f aca="false">IF(OR(Q215="",D215&lt;&gt;""),"",MIN(4.75,ROUND((Q215-INT(Q215))*16,0)/4+1))</f>
        <v/>
      </c>
      <c r="T215" s="11" t="str">
        <f aca="false">IF(OR(E215="",N(P215)&lt;=0),"",E215*P215/240)</f>
        <v/>
      </c>
      <c r="U215" s="9" t="str">
        <f aca="false">IF(Q215="","",IF(MIN(MOD(Q215,32),32-MOD(Q215,32))&lt;=0.25,32,IF(MIN(MOD(Q215,16),16-MOD(Q215,16))&lt;=0.25,16,IF(MIN(MOD(Q215,8),8-MOD(Q215,8))&lt;=0.25,8,""))))</f>
        <v/>
      </c>
      <c r="V215" s="9" t="str">
        <f aca="false">IF(OR(Q215="",T215=""),"",IF(MIN(MOD((Q215+T215),32),32-MOD((Q215+T215),32))&lt;=0.25,32,IF(MIN(MOD((Q215+T215),16),16-MOD((Q215+T215),16))&lt;=0.25,16,IF(MIN(MOD((Q215+T215),8),8-MOD((Q215+T215),8))&lt;=0.25,8,""))))</f>
        <v/>
      </c>
    </row>
    <row r="216" customFormat="false" ht="1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9" t="str">
        <f aca="false">IF(A216="","",IFERROR(INDEX(Tracks!$E$2:$E$41,MATCH(A216,Tracks!$A$2:$A$41,0)),"?"))</f>
        <v/>
      </c>
      <c r="P216" s="9" t="str">
        <f aca="false">IF(A216="","",IFERROR(N(INDEX(Tracks!$F$2:$F$41,MATCH(A216,Tracks!$A$2:$A$41,0))),""))</f>
        <v/>
      </c>
      <c r="Q216" s="10" t="str">
        <f aca="false">IF(D216&lt;&gt;"",D216-1,IF(OR(A216="",C216="",N(P216)&lt;=0),"",(N(B216)*60+C216-IFERROR(N(INDEX(Tracks!$G$2:$G$41,MATCH(A216,Tracks!$A$2:$A$41,0))),0))*P216/240))</f>
        <v/>
      </c>
      <c r="R216" s="9" t="str">
        <f aca="false">IF(Q216="","",INT(Q216)+1)</f>
        <v/>
      </c>
      <c r="S216" s="10" t="str">
        <f aca="false">IF(OR(Q216="",D216&lt;&gt;""),"",MIN(4.75,ROUND((Q216-INT(Q216))*16,0)/4+1))</f>
        <v/>
      </c>
      <c r="T216" s="11" t="str">
        <f aca="false">IF(OR(E216="",N(P216)&lt;=0),"",E216*P216/240)</f>
        <v/>
      </c>
      <c r="U216" s="9" t="str">
        <f aca="false">IF(Q216="","",IF(MIN(MOD(Q216,32),32-MOD(Q216,32))&lt;=0.25,32,IF(MIN(MOD(Q216,16),16-MOD(Q216,16))&lt;=0.25,16,IF(MIN(MOD(Q216,8),8-MOD(Q216,8))&lt;=0.25,8,""))))</f>
        <v/>
      </c>
      <c r="V216" s="9" t="str">
        <f aca="false">IF(OR(Q216="",T216=""),"",IF(MIN(MOD((Q216+T216),32),32-MOD((Q216+T216),32))&lt;=0.25,32,IF(MIN(MOD((Q216+T216),16),16-MOD((Q216+T216),16))&lt;=0.25,16,IF(MIN(MOD((Q216+T216),8),8-MOD((Q216+T216),8))&lt;=0.25,8,""))))</f>
        <v/>
      </c>
    </row>
    <row r="217" customFormat="false" ht="1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9" t="str">
        <f aca="false">IF(A217="","",IFERROR(INDEX(Tracks!$E$2:$E$41,MATCH(A217,Tracks!$A$2:$A$41,0)),"?"))</f>
        <v/>
      </c>
      <c r="P217" s="9" t="str">
        <f aca="false">IF(A217="","",IFERROR(N(INDEX(Tracks!$F$2:$F$41,MATCH(A217,Tracks!$A$2:$A$41,0))),""))</f>
        <v/>
      </c>
      <c r="Q217" s="10" t="str">
        <f aca="false">IF(D217&lt;&gt;"",D217-1,IF(OR(A217="",C217="",N(P217)&lt;=0),"",(N(B217)*60+C217-IFERROR(N(INDEX(Tracks!$G$2:$G$41,MATCH(A217,Tracks!$A$2:$A$41,0))),0))*P217/240))</f>
        <v/>
      </c>
      <c r="R217" s="9" t="str">
        <f aca="false">IF(Q217="","",INT(Q217)+1)</f>
        <v/>
      </c>
      <c r="S217" s="10" t="str">
        <f aca="false">IF(OR(Q217="",D217&lt;&gt;""),"",MIN(4.75,ROUND((Q217-INT(Q217))*16,0)/4+1))</f>
        <v/>
      </c>
      <c r="T217" s="11" t="str">
        <f aca="false">IF(OR(E217="",N(P217)&lt;=0),"",E217*P217/240)</f>
        <v/>
      </c>
      <c r="U217" s="9" t="str">
        <f aca="false">IF(Q217="","",IF(MIN(MOD(Q217,32),32-MOD(Q217,32))&lt;=0.25,32,IF(MIN(MOD(Q217,16),16-MOD(Q217,16))&lt;=0.25,16,IF(MIN(MOD(Q217,8),8-MOD(Q217,8))&lt;=0.25,8,""))))</f>
        <v/>
      </c>
      <c r="V217" s="9" t="str">
        <f aca="false">IF(OR(Q217="",T217=""),"",IF(MIN(MOD((Q217+T217),32),32-MOD((Q217+T217),32))&lt;=0.25,32,IF(MIN(MOD((Q217+T217),16),16-MOD((Q217+T217),16))&lt;=0.25,16,IF(MIN(MOD((Q217+T217),8),8-MOD((Q217+T217),8))&lt;=0.25,8,""))))</f>
        <v/>
      </c>
    </row>
    <row r="218" customFormat="false" ht="1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9" t="str">
        <f aca="false">IF(A218="","",IFERROR(INDEX(Tracks!$E$2:$E$41,MATCH(A218,Tracks!$A$2:$A$41,0)),"?"))</f>
        <v/>
      </c>
      <c r="P218" s="9" t="str">
        <f aca="false">IF(A218="","",IFERROR(N(INDEX(Tracks!$F$2:$F$41,MATCH(A218,Tracks!$A$2:$A$41,0))),""))</f>
        <v/>
      </c>
      <c r="Q218" s="10" t="str">
        <f aca="false">IF(D218&lt;&gt;"",D218-1,IF(OR(A218="",C218="",N(P218)&lt;=0),"",(N(B218)*60+C218-IFERROR(N(INDEX(Tracks!$G$2:$G$41,MATCH(A218,Tracks!$A$2:$A$41,0))),0))*P218/240))</f>
        <v/>
      </c>
      <c r="R218" s="9" t="str">
        <f aca="false">IF(Q218="","",INT(Q218)+1)</f>
        <v/>
      </c>
      <c r="S218" s="10" t="str">
        <f aca="false">IF(OR(Q218="",D218&lt;&gt;""),"",MIN(4.75,ROUND((Q218-INT(Q218))*16,0)/4+1))</f>
        <v/>
      </c>
      <c r="T218" s="11" t="str">
        <f aca="false">IF(OR(E218="",N(P218)&lt;=0),"",E218*P218/240)</f>
        <v/>
      </c>
      <c r="U218" s="9" t="str">
        <f aca="false">IF(Q218="","",IF(MIN(MOD(Q218,32),32-MOD(Q218,32))&lt;=0.25,32,IF(MIN(MOD(Q218,16),16-MOD(Q218,16))&lt;=0.25,16,IF(MIN(MOD(Q218,8),8-MOD(Q218,8))&lt;=0.25,8,""))))</f>
        <v/>
      </c>
      <c r="V218" s="9" t="str">
        <f aca="false">IF(OR(Q218="",T218=""),"",IF(MIN(MOD((Q218+T218),32),32-MOD((Q218+T218),32))&lt;=0.25,32,IF(MIN(MOD((Q218+T218),16),16-MOD((Q218+T218),16))&lt;=0.25,16,IF(MIN(MOD((Q218+T218),8),8-MOD((Q218+T218),8))&lt;=0.25,8,""))))</f>
        <v/>
      </c>
    </row>
    <row r="219" customFormat="false" ht="1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9" t="str">
        <f aca="false">IF(A219="","",IFERROR(INDEX(Tracks!$E$2:$E$41,MATCH(A219,Tracks!$A$2:$A$41,0)),"?"))</f>
        <v/>
      </c>
      <c r="P219" s="9" t="str">
        <f aca="false">IF(A219="","",IFERROR(N(INDEX(Tracks!$F$2:$F$41,MATCH(A219,Tracks!$A$2:$A$41,0))),""))</f>
        <v/>
      </c>
      <c r="Q219" s="10" t="str">
        <f aca="false">IF(D219&lt;&gt;"",D219-1,IF(OR(A219="",C219="",N(P219)&lt;=0),"",(N(B219)*60+C219-IFERROR(N(INDEX(Tracks!$G$2:$G$41,MATCH(A219,Tracks!$A$2:$A$41,0))),0))*P219/240))</f>
        <v/>
      </c>
      <c r="R219" s="9" t="str">
        <f aca="false">IF(Q219="","",INT(Q219)+1)</f>
        <v/>
      </c>
      <c r="S219" s="10" t="str">
        <f aca="false">IF(OR(Q219="",D219&lt;&gt;""),"",MIN(4.75,ROUND((Q219-INT(Q219))*16,0)/4+1))</f>
        <v/>
      </c>
      <c r="T219" s="11" t="str">
        <f aca="false">IF(OR(E219="",N(P219)&lt;=0),"",E219*P219/240)</f>
        <v/>
      </c>
      <c r="U219" s="9" t="str">
        <f aca="false">IF(Q219="","",IF(MIN(MOD(Q219,32),32-MOD(Q219,32))&lt;=0.25,32,IF(MIN(MOD(Q219,16),16-MOD(Q219,16))&lt;=0.25,16,IF(MIN(MOD(Q219,8),8-MOD(Q219,8))&lt;=0.25,8,""))))</f>
        <v/>
      </c>
      <c r="V219" s="9" t="str">
        <f aca="false">IF(OR(Q219="",T219=""),"",IF(MIN(MOD((Q219+T219),32),32-MOD((Q219+T219),32))&lt;=0.25,32,IF(MIN(MOD((Q219+T219),16),16-MOD((Q219+T219),16))&lt;=0.25,16,IF(MIN(MOD((Q219+T219),8),8-MOD((Q219+T219),8))&lt;=0.25,8,""))))</f>
        <v/>
      </c>
    </row>
    <row r="220" customFormat="false" ht="1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9" t="str">
        <f aca="false">IF(A220="","",IFERROR(INDEX(Tracks!$E$2:$E$41,MATCH(A220,Tracks!$A$2:$A$41,0)),"?"))</f>
        <v/>
      </c>
      <c r="P220" s="9" t="str">
        <f aca="false">IF(A220="","",IFERROR(N(INDEX(Tracks!$F$2:$F$41,MATCH(A220,Tracks!$A$2:$A$41,0))),""))</f>
        <v/>
      </c>
      <c r="Q220" s="10" t="str">
        <f aca="false">IF(D220&lt;&gt;"",D220-1,IF(OR(A220="",C220="",N(P220)&lt;=0),"",(N(B220)*60+C220-IFERROR(N(INDEX(Tracks!$G$2:$G$41,MATCH(A220,Tracks!$A$2:$A$41,0))),0))*P220/240))</f>
        <v/>
      </c>
      <c r="R220" s="9" t="str">
        <f aca="false">IF(Q220="","",INT(Q220)+1)</f>
        <v/>
      </c>
      <c r="S220" s="10" t="str">
        <f aca="false">IF(OR(Q220="",D220&lt;&gt;""),"",MIN(4.75,ROUND((Q220-INT(Q220))*16,0)/4+1))</f>
        <v/>
      </c>
      <c r="T220" s="11" t="str">
        <f aca="false">IF(OR(E220="",N(P220)&lt;=0),"",E220*P220/240)</f>
        <v/>
      </c>
      <c r="U220" s="9" t="str">
        <f aca="false">IF(Q220="","",IF(MIN(MOD(Q220,32),32-MOD(Q220,32))&lt;=0.25,32,IF(MIN(MOD(Q220,16),16-MOD(Q220,16))&lt;=0.25,16,IF(MIN(MOD(Q220,8),8-MOD(Q220,8))&lt;=0.25,8,""))))</f>
        <v/>
      </c>
      <c r="V220" s="9" t="str">
        <f aca="false">IF(OR(Q220="",T220=""),"",IF(MIN(MOD((Q220+T220),32),32-MOD((Q220+T220),32))&lt;=0.25,32,IF(MIN(MOD((Q220+T220),16),16-MOD((Q220+T220),16))&lt;=0.25,16,IF(MIN(MOD((Q220+T220),8),8-MOD((Q220+T220),8))&lt;=0.25,8,""))))</f>
        <v/>
      </c>
    </row>
    <row r="221" customFormat="false" ht="1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9" t="str">
        <f aca="false">IF(A221="","",IFERROR(INDEX(Tracks!$E$2:$E$41,MATCH(A221,Tracks!$A$2:$A$41,0)),"?"))</f>
        <v/>
      </c>
      <c r="P221" s="9" t="str">
        <f aca="false">IF(A221="","",IFERROR(N(INDEX(Tracks!$F$2:$F$41,MATCH(A221,Tracks!$A$2:$A$41,0))),""))</f>
        <v/>
      </c>
      <c r="Q221" s="10" t="str">
        <f aca="false">IF(D221&lt;&gt;"",D221-1,IF(OR(A221="",C221="",N(P221)&lt;=0),"",(N(B221)*60+C221-IFERROR(N(INDEX(Tracks!$G$2:$G$41,MATCH(A221,Tracks!$A$2:$A$41,0))),0))*P221/240))</f>
        <v/>
      </c>
      <c r="R221" s="9" t="str">
        <f aca="false">IF(Q221="","",INT(Q221)+1)</f>
        <v/>
      </c>
      <c r="S221" s="10" t="str">
        <f aca="false">IF(OR(Q221="",D221&lt;&gt;""),"",MIN(4.75,ROUND((Q221-INT(Q221))*16,0)/4+1))</f>
        <v/>
      </c>
      <c r="T221" s="11" t="str">
        <f aca="false">IF(OR(E221="",N(P221)&lt;=0),"",E221*P221/240)</f>
        <v/>
      </c>
      <c r="U221" s="9" t="str">
        <f aca="false">IF(Q221="","",IF(MIN(MOD(Q221,32),32-MOD(Q221,32))&lt;=0.25,32,IF(MIN(MOD(Q221,16),16-MOD(Q221,16))&lt;=0.25,16,IF(MIN(MOD(Q221,8),8-MOD(Q221,8))&lt;=0.25,8,""))))</f>
        <v/>
      </c>
      <c r="V221" s="9" t="str">
        <f aca="false">IF(OR(Q221="",T221=""),"",IF(MIN(MOD((Q221+T221),32),32-MOD((Q221+T221),32))&lt;=0.25,32,IF(MIN(MOD((Q221+T221),16),16-MOD((Q221+T221),16))&lt;=0.25,16,IF(MIN(MOD((Q221+T221),8),8-MOD((Q221+T221),8))&lt;=0.25,8,""))))</f>
        <v/>
      </c>
    </row>
    <row r="222" customFormat="false" ht="1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9" t="str">
        <f aca="false">IF(A222="","",IFERROR(INDEX(Tracks!$E$2:$E$41,MATCH(A222,Tracks!$A$2:$A$41,0)),"?"))</f>
        <v/>
      </c>
      <c r="P222" s="9" t="str">
        <f aca="false">IF(A222="","",IFERROR(N(INDEX(Tracks!$F$2:$F$41,MATCH(A222,Tracks!$A$2:$A$41,0))),""))</f>
        <v/>
      </c>
      <c r="Q222" s="10" t="str">
        <f aca="false">IF(D222&lt;&gt;"",D222-1,IF(OR(A222="",C222="",N(P222)&lt;=0),"",(N(B222)*60+C222-IFERROR(N(INDEX(Tracks!$G$2:$G$41,MATCH(A222,Tracks!$A$2:$A$41,0))),0))*P222/240))</f>
        <v/>
      </c>
      <c r="R222" s="9" t="str">
        <f aca="false">IF(Q222="","",INT(Q222)+1)</f>
        <v/>
      </c>
      <c r="S222" s="10" t="str">
        <f aca="false">IF(OR(Q222="",D222&lt;&gt;""),"",MIN(4.75,ROUND((Q222-INT(Q222))*16,0)/4+1))</f>
        <v/>
      </c>
      <c r="T222" s="11" t="str">
        <f aca="false">IF(OR(E222="",N(P222)&lt;=0),"",E222*P222/240)</f>
        <v/>
      </c>
      <c r="U222" s="9" t="str">
        <f aca="false">IF(Q222="","",IF(MIN(MOD(Q222,32),32-MOD(Q222,32))&lt;=0.25,32,IF(MIN(MOD(Q222,16),16-MOD(Q222,16))&lt;=0.25,16,IF(MIN(MOD(Q222,8),8-MOD(Q222,8))&lt;=0.25,8,""))))</f>
        <v/>
      </c>
      <c r="V222" s="9" t="str">
        <f aca="false">IF(OR(Q222="",T222=""),"",IF(MIN(MOD((Q222+T222),32),32-MOD((Q222+T222),32))&lt;=0.25,32,IF(MIN(MOD((Q222+T222),16),16-MOD((Q222+T222),16))&lt;=0.25,16,IF(MIN(MOD((Q222+T222),8),8-MOD((Q222+T222),8))&lt;=0.25,8,""))))</f>
        <v/>
      </c>
    </row>
    <row r="223" customFormat="false" ht="1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9" t="str">
        <f aca="false">IF(A223="","",IFERROR(INDEX(Tracks!$E$2:$E$41,MATCH(A223,Tracks!$A$2:$A$41,0)),"?"))</f>
        <v/>
      </c>
      <c r="P223" s="9" t="str">
        <f aca="false">IF(A223="","",IFERROR(N(INDEX(Tracks!$F$2:$F$41,MATCH(A223,Tracks!$A$2:$A$41,0))),""))</f>
        <v/>
      </c>
      <c r="Q223" s="10" t="str">
        <f aca="false">IF(D223&lt;&gt;"",D223-1,IF(OR(A223="",C223="",N(P223)&lt;=0),"",(N(B223)*60+C223-IFERROR(N(INDEX(Tracks!$G$2:$G$41,MATCH(A223,Tracks!$A$2:$A$41,0))),0))*P223/240))</f>
        <v/>
      </c>
      <c r="R223" s="9" t="str">
        <f aca="false">IF(Q223="","",INT(Q223)+1)</f>
        <v/>
      </c>
      <c r="S223" s="10" t="str">
        <f aca="false">IF(OR(Q223="",D223&lt;&gt;""),"",MIN(4.75,ROUND((Q223-INT(Q223))*16,0)/4+1))</f>
        <v/>
      </c>
      <c r="T223" s="11" t="str">
        <f aca="false">IF(OR(E223="",N(P223)&lt;=0),"",E223*P223/240)</f>
        <v/>
      </c>
      <c r="U223" s="9" t="str">
        <f aca="false">IF(Q223="","",IF(MIN(MOD(Q223,32),32-MOD(Q223,32))&lt;=0.25,32,IF(MIN(MOD(Q223,16),16-MOD(Q223,16))&lt;=0.25,16,IF(MIN(MOD(Q223,8),8-MOD(Q223,8))&lt;=0.25,8,""))))</f>
        <v/>
      </c>
      <c r="V223" s="9" t="str">
        <f aca="false">IF(OR(Q223="",T223=""),"",IF(MIN(MOD((Q223+T223),32),32-MOD((Q223+T223),32))&lt;=0.25,32,IF(MIN(MOD((Q223+T223),16),16-MOD((Q223+T223),16))&lt;=0.25,16,IF(MIN(MOD((Q223+T223),8),8-MOD((Q223+T223),8))&lt;=0.25,8,""))))</f>
        <v/>
      </c>
    </row>
    <row r="224" customFormat="false" ht="1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9" t="str">
        <f aca="false">IF(A224="","",IFERROR(INDEX(Tracks!$E$2:$E$41,MATCH(A224,Tracks!$A$2:$A$41,0)),"?"))</f>
        <v/>
      </c>
      <c r="P224" s="9" t="str">
        <f aca="false">IF(A224="","",IFERROR(N(INDEX(Tracks!$F$2:$F$41,MATCH(A224,Tracks!$A$2:$A$41,0))),""))</f>
        <v/>
      </c>
      <c r="Q224" s="10" t="str">
        <f aca="false">IF(D224&lt;&gt;"",D224-1,IF(OR(A224="",C224="",N(P224)&lt;=0),"",(N(B224)*60+C224-IFERROR(N(INDEX(Tracks!$G$2:$G$41,MATCH(A224,Tracks!$A$2:$A$41,0))),0))*P224/240))</f>
        <v/>
      </c>
      <c r="R224" s="9" t="str">
        <f aca="false">IF(Q224="","",INT(Q224)+1)</f>
        <v/>
      </c>
      <c r="S224" s="10" t="str">
        <f aca="false">IF(OR(Q224="",D224&lt;&gt;""),"",MIN(4.75,ROUND((Q224-INT(Q224))*16,0)/4+1))</f>
        <v/>
      </c>
      <c r="T224" s="11" t="str">
        <f aca="false">IF(OR(E224="",N(P224)&lt;=0),"",E224*P224/240)</f>
        <v/>
      </c>
      <c r="U224" s="9" t="str">
        <f aca="false">IF(Q224="","",IF(MIN(MOD(Q224,32),32-MOD(Q224,32))&lt;=0.25,32,IF(MIN(MOD(Q224,16),16-MOD(Q224,16))&lt;=0.25,16,IF(MIN(MOD(Q224,8),8-MOD(Q224,8))&lt;=0.25,8,""))))</f>
        <v/>
      </c>
      <c r="V224" s="9" t="str">
        <f aca="false">IF(OR(Q224="",T224=""),"",IF(MIN(MOD((Q224+T224),32),32-MOD((Q224+T224),32))&lt;=0.25,32,IF(MIN(MOD((Q224+T224),16),16-MOD((Q224+T224),16))&lt;=0.25,16,IF(MIN(MOD((Q224+T224),8),8-MOD((Q224+T224),8))&lt;=0.25,8,""))))</f>
        <v/>
      </c>
    </row>
    <row r="225" customFormat="false" ht="1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9" t="str">
        <f aca="false">IF(A225="","",IFERROR(INDEX(Tracks!$E$2:$E$41,MATCH(A225,Tracks!$A$2:$A$41,0)),"?"))</f>
        <v/>
      </c>
      <c r="P225" s="9" t="str">
        <f aca="false">IF(A225="","",IFERROR(N(INDEX(Tracks!$F$2:$F$41,MATCH(A225,Tracks!$A$2:$A$41,0))),""))</f>
        <v/>
      </c>
      <c r="Q225" s="10" t="str">
        <f aca="false">IF(D225&lt;&gt;"",D225-1,IF(OR(A225="",C225="",N(P225)&lt;=0),"",(N(B225)*60+C225-IFERROR(N(INDEX(Tracks!$G$2:$G$41,MATCH(A225,Tracks!$A$2:$A$41,0))),0))*P225/240))</f>
        <v/>
      </c>
      <c r="R225" s="9" t="str">
        <f aca="false">IF(Q225="","",INT(Q225)+1)</f>
        <v/>
      </c>
      <c r="S225" s="10" t="str">
        <f aca="false">IF(OR(Q225="",D225&lt;&gt;""),"",MIN(4.75,ROUND((Q225-INT(Q225))*16,0)/4+1))</f>
        <v/>
      </c>
      <c r="T225" s="11" t="str">
        <f aca="false">IF(OR(E225="",N(P225)&lt;=0),"",E225*P225/240)</f>
        <v/>
      </c>
      <c r="U225" s="9" t="str">
        <f aca="false">IF(Q225="","",IF(MIN(MOD(Q225,32),32-MOD(Q225,32))&lt;=0.25,32,IF(MIN(MOD(Q225,16),16-MOD(Q225,16))&lt;=0.25,16,IF(MIN(MOD(Q225,8),8-MOD(Q225,8))&lt;=0.25,8,""))))</f>
        <v/>
      </c>
      <c r="V225" s="9" t="str">
        <f aca="false">IF(OR(Q225="",T225=""),"",IF(MIN(MOD((Q225+T225),32),32-MOD((Q225+T225),32))&lt;=0.25,32,IF(MIN(MOD((Q225+T225),16),16-MOD((Q225+T225),16))&lt;=0.25,16,IF(MIN(MOD((Q225+T225),8),8-MOD((Q225+T225),8))&lt;=0.25,8,""))))</f>
        <v/>
      </c>
    </row>
    <row r="226" customFormat="false" ht="1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9" t="str">
        <f aca="false">IF(A226="","",IFERROR(INDEX(Tracks!$E$2:$E$41,MATCH(A226,Tracks!$A$2:$A$41,0)),"?"))</f>
        <v/>
      </c>
      <c r="P226" s="9" t="str">
        <f aca="false">IF(A226="","",IFERROR(N(INDEX(Tracks!$F$2:$F$41,MATCH(A226,Tracks!$A$2:$A$41,0))),""))</f>
        <v/>
      </c>
      <c r="Q226" s="10" t="str">
        <f aca="false">IF(D226&lt;&gt;"",D226-1,IF(OR(A226="",C226="",N(P226)&lt;=0),"",(N(B226)*60+C226-IFERROR(N(INDEX(Tracks!$G$2:$G$41,MATCH(A226,Tracks!$A$2:$A$41,0))),0))*P226/240))</f>
        <v/>
      </c>
      <c r="R226" s="9" t="str">
        <f aca="false">IF(Q226="","",INT(Q226)+1)</f>
        <v/>
      </c>
      <c r="S226" s="10" t="str">
        <f aca="false">IF(OR(Q226="",D226&lt;&gt;""),"",MIN(4.75,ROUND((Q226-INT(Q226))*16,0)/4+1))</f>
        <v/>
      </c>
      <c r="T226" s="11" t="str">
        <f aca="false">IF(OR(E226="",N(P226)&lt;=0),"",E226*P226/240)</f>
        <v/>
      </c>
      <c r="U226" s="9" t="str">
        <f aca="false">IF(Q226="","",IF(MIN(MOD(Q226,32),32-MOD(Q226,32))&lt;=0.25,32,IF(MIN(MOD(Q226,16),16-MOD(Q226,16))&lt;=0.25,16,IF(MIN(MOD(Q226,8),8-MOD(Q226,8))&lt;=0.25,8,""))))</f>
        <v/>
      </c>
      <c r="V226" s="9" t="str">
        <f aca="false">IF(OR(Q226="",T226=""),"",IF(MIN(MOD((Q226+T226),32),32-MOD((Q226+T226),32))&lt;=0.25,32,IF(MIN(MOD((Q226+T226),16),16-MOD((Q226+T226),16))&lt;=0.25,16,IF(MIN(MOD((Q226+T226),8),8-MOD((Q226+T226),8))&lt;=0.25,8,""))))</f>
        <v/>
      </c>
    </row>
    <row r="227" customFormat="false" ht="1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9" t="str">
        <f aca="false">IF(A227="","",IFERROR(INDEX(Tracks!$E$2:$E$41,MATCH(A227,Tracks!$A$2:$A$41,0)),"?"))</f>
        <v/>
      </c>
      <c r="P227" s="9" t="str">
        <f aca="false">IF(A227="","",IFERROR(N(INDEX(Tracks!$F$2:$F$41,MATCH(A227,Tracks!$A$2:$A$41,0))),""))</f>
        <v/>
      </c>
      <c r="Q227" s="10" t="str">
        <f aca="false">IF(D227&lt;&gt;"",D227-1,IF(OR(A227="",C227="",N(P227)&lt;=0),"",(N(B227)*60+C227-IFERROR(N(INDEX(Tracks!$G$2:$G$41,MATCH(A227,Tracks!$A$2:$A$41,0))),0))*P227/240))</f>
        <v/>
      </c>
      <c r="R227" s="9" t="str">
        <f aca="false">IF(Q227="","",INT(Q227)+1)</f>
        <v/>
      </c>
      <c r="S227" s="10" t="str">
        <f aca="false">IF(OR(Q227="",D227&lt;&gt;""),"",MIN(4.75,ROUND((Q227-INT(Q227))*16,0)/4+1))</f>
        <v/>
      </c>
      <c r="T227" s="11" t="str">
        <f aca="false">IF(OR(E227="",N(P227)&lt;=0),"",E227*P227/240)</f>
        <v/>
      </c>
      <c r="U227" s="9" t="str">
        <f aca="false">IF(Q227="","",IF(MIN(MOD(Q227,32),32-MOD(Q227,32))&lt;=0.25,32,IF(MIN(MOD(Q227,16),16-MOD(Q227,16))&lt;=0.25,16,IF(MIN(MOD(Q227,8),8-MOD(Q227,8))&lt;=0.25,8,""))))</f>
        <v/>
      </c>
      <c r="V227" s="9" t="str">
        <f aca="false">IF(OR(Q227="",T227=""),"",IF(MIN(MOD((Q227+T227),32),32-MOD((Q227+T227),32))&lt;=0.25,32,IF(MIN(MOD((Q227+T227),16),16-MOD((Q227+T227),16))&lt;=0.25,16,IF(MIN(MOD((Q227+T227),8),8-MOD((Q227+T227),8))&lt;=0.25,8,""))))</f>
        <v/>
      </c>
    </row>
    <row r="228" customFormat="false" ht="1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9" t="str">
        <f aca="false">IF(A228="","",IFERROR(INDEX(Tracks!$E$2:$E$41,MATCH(A228,Tracks!$A$2:$A$41,0)),"?"))</f>
        <v/>
      </c>
      <c r="P228" s="9" t="str">
        <f aca="false">IF(A228="","",IFERROR(N(INDEX(Tracks!$F$2:$F$41,MATCH(A228,Tracks!$A$2:$A$41,0))),""))</f>
        <v/>
      </c>
      <c r="Q228" s="10" t="str">
        <f aca="false">IF(D228&lt;&gt;"",D228-1,IF(OR(A228="",C228="",N(P228)&lt;=0),"",(N(B228)*60+C228-IFERROR(N(INDEX(Tracks!$G$2:$G$41,MATCH(A228,Tracks!$A$2:$A$41,0))),0))*P228/240))</f>
        <v/>
      </c>
      <c r="R228" s="9" t="str">
        <f aca="false">IF(Q228="","",INT(Q228)+1)</f>
        <v/>
      </c>
      <c r="S228" s="10" t="str">
        <f aca="false">IF(OR(Q228="",D228&lt;&gt;""),"",MIN(4.75,ROUND((Q228-INT(Q228))*16,0)/4+1))</f>
        <v/>
      </c>
      <c r="T228" s="11" t="str">
        <f aca="false">IF(OR(E228="",N(P228)&lt;=0),"",E228*P228/240)</f>
        <v/>
      </c>
      <c r="U228" s="9" t="str">
        <f aca="false">IF(Q228="","",IF(MIN(MOD(Q228,32),32-MOD(Q228,32))&lt;=0.25,32,IF(MIN(MOD(Q228,16),16-MOD(Q228,16))&lt;=0.25,16,IF(MIN(MOD(Q228,8),8-MOD(Q228,8))&lt;=0.25,8,""))))</f>
        <v/>
      </c>
      <c r="V228" s="9" t="str">
        <f aca="false">IF(OR(Q228="",T228=""),"",IF(MIN(MOD((Q228+T228),32),32-MOD((Q228+T228),32))&lt;=0.25,32,IF(MIN(MOD((Q228+T228),16),16-MOD((Q228+T228),16))&lt;=0.25,16,IF(MIN(MOD((Q228+T228),8),8-MOD((Q228+T228),8))&lt;=0.25,8,""))))</f>
        <v/>
      </c>
    </row>
    <row r="229" customFormat="false" ht="1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9" t="str">
        <f aca="false">IF(A229="","",IFERROR(INDEX(Tracks!$E$2:$E$41,MATCH(A229,Tracks!$A$2:$A$41,0)),"?"))</f>
        <v/>
      </c>
      <c r="P229" s="9" t="str">
        <f aca="false">IF(A229="","",IFERROR(N(INDEX(Tracks!$F$2:$F$41,MATCH(A229,Tracks!$A$2:$A$41,0))),""))</f>
        <v/>
      </c>
      <c r="Q229" s="10" t="str">
        <f aca="false">IF(D229&lt;&gt;"",D229-1,IF(OR(A229="",C229="",N(P229)&lt;=0),"",(N(B229)*60+C229-IFERROR(N(INDEX(Tracks!$G$2:$G$41,MATCH(A229,Tracks!$A$2:$A$41,0))),0))*P229/240))</f>
        <v/>
      </c>
      <c r="R229" s="9" t="str">
        <f aca="false">IF(Q229="","",INT(Q229)+1)</f>
        <v/>
      </c>
      <c r="S229" s="10" t="str">
        <f aca="false">IF(OR(Q229="",D229&lt;&gt;""),"",MIN(4.75,ROUND((Q229-INT(Q229))*16,0)/4+1))</f>
        <v/>
      </c>
      <c r="T229" s="11" t="str">
        <f aca="false">IF(OR(E229="",N(P229)&lt;=0),"",E229*P229/240)</f>
        <v/>
      </c>
      <c r="U229" s="9" t="str">
        <f aca="false">IF(Q229="","",IF(MIN(MOD(Q229,32),32-MOD(Q229,32))&lt;=0.25,32,IF(MIN(MOD(Q229,16),16-MOD(Q229,16))&lt;=0.25,16,IF(MIN(MOD(Q229,8),8-MOD(Q229,8))&lt;=0.25,8,""))))</f>
        <v/>
      </c>
      <c r="V229" s="9" t="str">
        <f aca="false">IF(OR(Q229="",T229=""),"",IF(MIN(MOD((Q229+T229),32),32-MOD((Q229+T229),32))&lt;=0.25,32,IF(MIN(MOD((Q229+T229),16),16-MOD((Q229+T229),16))&lt;=0.25,16,IF(MIN(MOD((Q229+T229),8),8-MOD((Q229+T229),8))&lt;=0.25,8,""))))</f>
        <v/>
      </c>
    </row>
    <row r="230" customFormat="false" ht="1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9" t="str">
        <f aca="false">IF(A230="","",IFERROR(INDEX(Tracks!$E$2:$E$41,MATCH(A230,Tracks!$A$2:$A$41,0)),"?"))</f>
        <v/>
      </c>
      <c r="P230" s="9" t="str">
        <f aca="false">IF(A230="","",IFERROR(N(INDEX(Tracks!$F$2:$F$41,MATCH(A230,Tracks!$A$2:$A$41,0))),""))</f>
        <v/>
      </c>
      <c r="Q230" s="10" t="str">
        <f aca="false">IF(D230&lt;&gt;"",D230-1,IF(OR(A230="",C230="",N(P230)&lt;=0),"",(N(B230)*60+C230-IFERROR(N(INDEX(Tracks!$G$2:$G$41,MATCH(A230,Tracks!$A$2:$A$41,0))),0))*P230/240))</f>
        <v/>
      </c>
      <c r="R230" s="9" t="str">
        <f aca="false">IF(Q230="","",INT(Q230)+1)</f>
        <v/>
      </c>
      <c r="S230" s="10" t="str">
        <f aca="false">IF(OR(Q230="",D230&lt;&gt;""),"",MIN(4.75,ROUND((Q230-INT(Q230))*16,0)/4+1))</f>
        <v/>
      </c>
      <c r="T230" s="11" t="str">
        <f aca="false">IF(OR(E230="",N(P230)&lt;=0),"",E230*P230/240)</f>
        <v/>
      </c>
      <c r="U230" s="9" t="str">
        <f aca="false">IF(Q230="","",IF(MIN(MOD(Q230,32),32-MOD(Q230,32))&lt;=0.25,32,IF(MIN(MOD(Q230,16),16-MOD(Q230,16))&lt;=0.25,16,IF(MIN(MOD(Q230,8),8-MOD(Q230,8))&lt;=0.25,8,""))))</f>
        <v/>
      </c>
      <c r="V230" s="9" t="str">
        <f aca="false">IF(OR(Q230="",T230=""),"",IF(MIN(MOD((Q230+T230),32),32-MOD((Q230+T230),32))&lt;=0.25,32,IF(MIN(MOD((Q230+T230),16),16-MOD((Q230+T230),16))&lt;=0.25,16,IF(MIN(MOD((Q230+T230),8),8-MOD((Q230+T230),8))&lt;=0.25,8,""))))</f>
        <v/>
      </c>
    </row>
    <row r="231" customFormat="false" ht="1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9" t="str">
        <f aca="false">IF(A231="","",IFERROR(INDEX(Tracks!$E$2:$E$41,MATCH(A231,Tracks!$A$2:$A$41,0)),"?"))</f>
        <v/>
      </c>
      <c r="P231" s="9" t="str">
        <f aca="false">IF(A231="","",IFERROR(N(INDEX(Tracks!$F$2:$F$41,MATCH(A231,Tracks!$A$2:$A$41,0))),""))</f>
        <v/>
      </c>
      <c r="Q231" s="10" t="str">
        <f aca="false">IF(D231&lt;&gt;"",D231-1,IF(OR(A231="",C231="",N(P231)&lt;=0),"",(N(B231)*60+C231-IFERROR(N(INDEX(Tracks!$G$2:$G$41,MATCH(A231,Tracks!$A$2:$A$41,0))),0))*P231/240))</f>
        <v/>
      </c>
      <c r="R231" s="9" t="str">
        <f aca="false">IF(Q231="","",INT(Q231)+1)</f>
        <v/>
      </c>
      <c r="S231" s="10" t="str">
        <f aca="false">IF(OR(Q231="",D231&lt;&gt;""),"",MIN(4.75,ROUND((Q231-INT(Q231))*16,0)/4+1))</f>
        <v/>
      </c>
      <c r="T231" s="11" t="str">
        <f aca="false">IF(OR(E231="",N(P231)&lt;=0),"",E231*P231/240)</f>
        <v/>
      </c>
      <c r="U231" s="9" t="str">
        <f aca="false">IF(Q231="","",IF(MIN(MOD(Q231,32),32-MOD(Q231,32))&lt;=0.25,32,IF(MIN(MOD(Q231,16),16-MOD(Q231,16))&lt;=0.25,16,IF(MIN(MOD(Q231,8),8-MOD(Q231,8))&lt;=0.25,8,""))))</f>
        <v/>
      </c>
      <c r="V231" s="9" t="str">
        <f aca="false">IF(OR(Q231="",T231=""),"",IF(MIN(MOD((Q231+T231),32),32-MOD((Q231+T231),32))&lt;=0.25,32,IF(MIN(MOD((Q231+T231),16),16-MOD((Q231+T231),16))&lt;=0.25,16,IF(MIN(MOD((Q231+T231),8),8-MOD((Q231+T231),8))&lt;=0.25,8,""))))</f>
        <v/>
      </c>
    </row>
    <row r="232" customFormat="false" ht="1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9" t="str">
        <f aca="false">IF(A232="","",IFERROR(INDEX(Tracks!$E$2:$E$41,MATCH(A232,Tracks!$A$2:$A$41,0)),"?"))</f>
        <v/>
      </c>
      <c r="P232" s="9" t="str">
        <f aca="false">IF(A232="","",IFERROR(N(INDEX(Tracks!$F$2:$F$41,MATCH(A232,Tracks!$A$2:$A$41,0))),""))</f>
        <v/>
      </c>
      <c r="Q232" s="10" t="str">
        <f aca="false">IF(D232&lt;&gt;"",D232-1,IF(OR(A232="",C232="",N(P232)&lt;=0),"",(N(B232)*60+C232-IFERROR(N(INDEX(Tracks!$G$2:$G$41,MATCH(A232,Tracks!$A$2:$A$41,0))),0))*P232/240))</f>
        <v/>
      </c>
      <c r="R232" s="9" t="str">
        <f aca="false">IF(Q232="","",INT(Q232)+1)</f>
        <v/>
      </c>
      <c r="S232" s="10" t="str">
        <f aca="false">IF(OR(Q232="",D232&lt;&gt;""),"",MIN(4.75,ROUND((Q232-INT(Q232))*16,0)/4+1))</f>
        <v/>
      </c>
      <c r="T232" s="11" t="str">
        <f aca="false">IF(OR(E232="",N(P232)&lt;=0),"",E232*P232/240)</f>
        <v/>
      </c>
      <c r="U232" s="9" t="str">
        <f aca="false">IF(Q232="","",IF(MIN(MOD(Q232,32),32-MOD(Q232,32))&lt;=0.25,32,IF(MIN(MOD(Q232,16),16-MOD(Q232,16))&lt;=0.25,16,IF(MIN(MOD(Q232,8),8-MOD(Q232,8))&lt;=0.25,8,""))))</f>
        <v/>
      </c>
      <c r="V232" s="9" t="str">
        <f aca="false">IF(OR(Q232="",T232=""),"",IF(MIN(MOD((Q232+T232),32),32-MOD((Q232+T232),32))&lt;=0.25,32,IF(MIN(MOD((Q232+T232),16),16-MOD((Q232+T232),16))&lt;=0.25,16,IF(MIN(MOD((Q232+T232),8),8-MOD((Q232+T232),8))&lt;=0.25,8,""))))</f>
        <v/>
      </c>
    </row>
    <row r="233" customFormat="false" ht="1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9" t="str">
        <f aca="false">IF(A233="","",IFERROR(INDEX(Tracks!$E$2:$E$41,MATCH(A233,Tracks!$A$2:$A$41,0)),"?"))</f>
        <v/>
      </c>
      <c r="P233" s="9" t="str">
        <f aca="false">IF(A233="","",IFERROR(N(INDEX(Tracks!$F$2:$F$41,MATCH(A233,Tracks!$A$2:$A$41,0))),""))</f>
        <v/>
      </c>
      <c r="Q233" s="10" t="str">
        <f aca="false">IF(D233&lt;&gt;"",D233-1,IF(OR(A233="",C233="",N(P233)&lt;=0),"",(N(B233)*60+C233-IFERROR(N(INDEX(Tracks!$G$2:$G$41,MATCH(A233,Tracks!$A$2:$A$41,0))),0))*P233/240))</f>
        <v/>
      </c>
      <c r="R233" s="9" t="str">
        <f aca="false">IF(Q233="","",INT(Q233)+1)</f>
        <v/>
      </c>
      <c r="S233" s="10" t="str">
        <f aca="false">IF(OR(Q233="",D233&lt;&gt;""),"",MIN(4.75,ROUND((Q233-INT(Q233))*16,0)/4+1))</f>
        <v/>
      </c>
      <c r="T233" s="11" t="str">
        <f aca="false">IF(OR(E233="",N(P233)&lt;=0),"",E233*P233/240)</f>
        <v/>
      </c>
      <c r="U233" s="9" t="str">
        <f aca="false">IF(Q233="","",IF(MIN(MOD(Q233,32),32-MOD(Q233,32))&lt;=0.25,32,IF(MIN(MOD(Q233,16),16-MOD(Q233,16))&lt;=0.25,16,IF(MIN(MOD(Q233,8),8-MOD(Q233,8))&lt;=0.25,8,""))))</f>
        <v/>
      </c>
      <c r="V233" s="9" t="str">
        <f aca="false">IF(OR(Q233="",T233=""),"",IF(MIN(MOD((Q233+T233),32),32-MOD((Q233+T233),32))&lt;=0.25,32,IF(MIN(MOD((Q233+T233),16),16-MOD((Q233+T233),16))&lt;=0.25,16,IF(MIN(MOD((Q233+T233),8),8-MOD((Q233+T233),8))&lt;=0.25,8,""))))</f>
        <v/>
      </c>
    </row>
    <row r="234" customFormat="false" ht="1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9" t="str">
        <f aca="false">IF(A234="","",IFERROR(INDEX(Tracks!$E$2:$E$41,MATCH(A234,Tracks!$A$2:$A$41,0)),"?"))</f>
        <v/>
      </c>
      <c r="P234" s="9" t="str">
        <f aca="false">IF(A234="","",IFERROR(N(INDEX(Tracks!$F$2:$F$41,MATCH(A234,Tracks!$A$2:$A$41,0))),""))</f>
        <v/>
      </c>
      <c r="Q234" s="10" t="str">
        <f aca="false">IF(D234&lt;&gt;"",D234-1,IF(OR(A234="",C234="",N(P234)&lt;=0),"",(N(B234)*60+C234-IFERROR(N(INDEX(Tracks!$G$2:$G$41,MATCH(A234,Tracks!$A$2:$A$41,0))),0))*P234/240))</f>
        <v/>
      </c>
      <c r="R234" s="9" t="str">
        <f aca="false">IF(Q234="","",INT(Q234)+1)</f>
        <v/>
      </c>
      <c r="S234" s="10" t="str">
        <f aca="false">IF(OR(Q234="",D234&lt;&gt;""),"",MIN(4.75,ROUND((Q234-INT(Q234))*16,0)/4+1))</f>
        <v/>
      </c>
      <c r="T234" s="11" t="str">
        <f aca="false">IF(OR(E234="",N(P234)&lt;=0),"",E234*P234/240)</f>
        <v/>
      </c>
      <c r="U234" s="9" t="str">
        <f aca="false">IF(Q234="","",IF(MIN(MOD(Q234,32),32-MOD(Q234,32))&lt;=0.25,32,IF(MIN(MOD(Q234,16),16-MOD(Q234,16))&lt;=0.25,16,IF(MIN(MOD(Q234,8),8-MOD(Q234,8))&lt;=0.25,8,""))))</f>
        <v/>
      </c>
      <c r="V234" s="9" t="str">
        <f aca="false">IF(OR(Q234="",T234=""),"",IF(MIN(MOD((Q234+T234),32),32-MOD((Q234+T234),32))&lt;=0.25,32,IF(MIN(MOD((Q234+T234),16),16-MOD((Q234+T234),16))&lt;=0.25,16,IF(MIN(MOD((Q234+T234),8),8-MOD((Q234+T234),8))&lt;=0.25,8,""))))</f>
        <v/>
      </c>
    </row>
    <row r="235" customFormat="false" ht="1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9" t="str">
        <f aca="false">IF(A235="","",IFERROR(INDEX(Tracks!$E$2:$E$41,MATCH(A235,Tracks!$A$2:$A$41,0)),"?"))</f>
        <v/>
      </c>
      <c r="P235" s="9" t="str">
        <f aca="false">IF(A235="","",IFERROR(N(INDEX(Tracks!$F$2:$F$41,MATCH(A235,Tracks!$A$2:$A$41,0))),""))</f>
        <v/>
      </c>
      <c r="Q235" s="10" t="str">
        <f aca="false">IF(D235&lt;&gt;"",D235-1,IF(OR(A235="",C235="",N(P235)&lt;=0),"",(N(B235)*60+C235-IFERROR(N(INDEX(Tracks!$G$2:$G$41,MATCH(A235,Tracks!$A$2:$A$41,0))),0))*P235/240))</f>
        <v/>
      </c>
      <c r="R235" s="9" t="str">
        <f aca="false">IF(Q235="","",INT(Q235)+1)</f>
        <v/>
      </c>
      <c r="S235" s="10" t="str">
        <f aca="false">IF(OR(Q235="",D235&lt;&gt;""),"",MIN(4.75,ROUND((Q235-INT(Q235))*16,0)/4+1))</f>
        <v/>
      </c>
      <c r="T235" s="11" t="str">
        <f aca="false">IF(OR(E235="",N(P235)&lt;=0),"",E235*P235/240)</f>
        <v/>
      </c>
      <c r="U235" s="9" t="str">
        <f aca="false">IF(Q235="","",IF(MIN(MOD(Q235,32),32-MOD(Q235,32))&lt;=0.25,32,IF(MIN(MOD(Q235,16),16-MOD(Q235,16))&lt;=0.25,16,IF(MIN(MOD(Q235,8),8-MOD(Q235,8))&lt;=0.25,8,""))))</f>
        <v/>
      </c>
      <c r="V235" s="9" t="str">
        <f aca="false">IF(OR(Q235="",T235=""),"",IF(MIN(MOD((Q235+T235),32),32-MOD((Q235+T235),32))&lt;=0.25,32,IF(MIN(MOD((Q235+T235),16),16-MOD((Q235+T235),16))&lt;=0.25,16,IF(MIN(MOD((Q235+T235),8),8-MOD((Q235+T235),8))&lt;=0.25,8,""))))</f>
        <v/>
      </c>
    </row>
    <row r="236" customFormat="false" ht="1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9" t="str">
        <f aca="false">IF(A236="","",IFERROR(INDEX(Tracks!$E$2:$E$41,MATCH(A236,Tracks!$A$2:$A$41,0)),"?"))</f>
        <v/>
      </c>
      <c r="P236" s="9" t="str">
        <f aca="false">IF(A236="","",IFERROR(N(INDEX(Tracks!$F$2:$F$41,MATCH(A236,Tracks!$A$2:$A$41,0))),""))</f>
        <v/>
      </c>
      <c r="Q236" s="10" t="str">
        <f aca="false">IF(D236&lt;&gt;"",D236-1,IF(OR(A236="",C236="",N(P236)&lt;=0),"",(N(B236)*60+C236-IFERROR(N(INDEX(Tracks!$G$2:$G$41,MATCH(A236,Tracks!$A$2:$A$41,0))),0))*P236/240))</f>
        <v/>
      </c>
      <c r="R236" s="9" t="str">
        <f aca="false">IF(Q236="","",INT(Q236)+1)</f>
        <v/>
      </c>
      <c r="S236" s="10" t="str">
        <f aca="false">IF(OR(Q236="",D236&lt;&gt;""),"",MIN(4.75,ROUND((Q236-INT(Q236))*16,0)/4+1))</f>
        <v/>
      </c>
      <c r="T236" s="11" t="str">
        <f aca="false">IF(OR(E236="",N(P236)&lt;=0),"",E236*P236/240)</f>
        <v/>
      </c>
      <c r="U236" s="9" t="str">
        <f aca="false">IF(Q236="","",IF(MIN(MOD(Q236,32),32-MOD(Q236,32))&lt;=0.25,32,IF(MIN(MOD(Q236,16),16-MOD(Q236,16))&lt;=0.25,16,IF(MIN(MOD(Q236,8),8-MOD(Q236,8))&lt;=0.25,8,""))))</f>
        <v/>
      </c>
      <c r="V236" s="9" t="str">
        <f aca="false">IF(OR(Q236="",T236=""),"",IF(MIN(MOD((Q236+T236),32),32-MOD((Q236+T236),32))&lt;=0.25,32,IF(MIN(MOD((Q236+T236),16),16-MOD((Q236+T236),16))&lt;=0.25,16,IF(MIN(MOD((Q236+T236),8),8-MOD((Q236+T236),8))&lt;=0.25,8,""))))</f>
        <v/>
      </c>
    </row>
    <row r="237" customFormat="false" ht="1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9" t="str">
        <f aca="false">IF(A237="","",IFERROR(INDEX(Tracks!$E$2:$E$41,MATCH(A237,Tracks!$A$2:$A$41,0)),"?"))</f>
        <v/>
      </c>
      <c r="P237" s="9" t="str">
        <f aca="false">IF(A237="","",IFERROR(N(INDEX(Tracks!$F$2:$F$41,MATCH(A237,Tracks!$A$2:$A$41,0))),""))</f>
        <v/>
      </c>
      <c r="Q237" s="10" t="str">
        <f aca="false">IF(D237&lt;&gt;"",D237-1,IF(OR(A237="",C237="",N(P237)&lt;=0),"",(N(B237)*60+C237-IFERROR(N(INDEX(Tracks!$G$2:$G$41,MATCH(A237,Tracks!$A$2:$A$41,0))),0))*P237/240))</f>
        <v/>
      </c>
      <c r="R237" s="9" t="str">
        <f aca="false">IF(Q237="","",INT(Q237)+1)</f>
        <v/>
      </c>
      <c r="S237" s="10" t="str">
        <f aca="false">IF(OR(Q237="",D237&lt;&gt;""),"",MIN(4.75,ROUND((Q237-INT(Q237))*16,0)/4+1))</f>
        <v/>
      </c>
      <c r="T237" s="11" t="str">
        <f aca="false">IF(OR(E237="",N(P237)&lt;=0),"",E237*P237/240)</f>
        <v/>
      </c>
      <c r="U237" s="9" t="str">
        <f aca="false">IF(Q237="","",IF(MIN(MOD(Q237,32),32-MOD(Q237,32))&lt;=0.25,32,IF(MIN(MOD(Q237,16),16-MOD(Q237,16))&lt;=0.25,16,IF(MIN(MOD(Q237,8),8-MOD(Q237,8))&lt;=0.25,8,""))))</f>
        <v/>
      </c>
      <c r="V237" s="9" t="str">
        <f aca="false">IF(OR(Q237="",T237=""),"",IF(MIN(MOD((Q237+T237),32),32-MOD((Q237+T237),32))&lt;=0.25,32,IF(MIN(MOD((Q237+T237),16),16-MOD((Q237+T237),16))&lt;=0.25,16,IF(MIN(MOD((Q237+T237),8),8-MOD((Q237+T237),8))&lt;=0.25,8,""))))</f>
        <v/>
      </c>
    </row>
    <row r="238" customFormat="false" ht="1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9" t="str">
        <f aca="false">IF(A238="","",IFERROR(INDEX(Tracks!$E$2:$E$41,MATCH(A238,Tracks!$A$2:$A$41,0)),"?"))</f>
        <v/>
      </c>
      <c r="P238" s="9" t="str">
        <f aca="false">IF(A238="","",IFERROR(N(INDEX(Tracks!$F$2:$F$41,MATCH(A238,Tracks!$A$2:$A$41,0))),""))</f>
        <v/>
      </c>
      <c r="Q238" s="10" t="str">
        <f aca="false">IF(D238&lt;&gt;"",D238-1,IF(OR(A238="",C238="",N(P238)&lt;=0),"",(N(B238)*60+C238-IFERROR(N(INDEX(Tracks!$G$2:$G$41,MATCH(A238,Tracks!$A$2:$A$41,0))),0))*P238/240))</f>
        <v/>
      </c>
      <c r="R238" s="9" t="str">
        <f aca="false">IF(Q238="","",INT(Q238)+1)</f>
        <v/>
      </c>
      <c r="S238" s="10" t="str">
        <f aca="false">IF(OR(Q238="",D238&lt;&gt;""),"",MIN(4.75,ROUND((Q238-INT(Q238))*16,0)/4+1))</f>
        <v/>
      </c>
      <c r="T238" s="11" t="str">
        <f aca="false">IF(OR(E238="",N(P238)&lt;=0),"",E238*P238/240)</f>
        <v/>
      </c>
      <c r="U238" s="9" t="str">
        <f aca="false">IF(Q238="","",IF(MIN(MOD(Q238,32),32-MOD(Q238,32))&lt;=0.25,32,IF(MIN(MOD(Q238,16),16-MOD(Q238,16))&lt;=0.25,16,IF(MIN(MOD(Q238,8),8-MOD(Q238,8))&lt;=0.25,8,""))))</f>
        <v/>
      </c>
      <c r="V238" s="9" t="str">
        <f aca="false">IF(OR(Q238="",T238=""),"",IF(MIN(MOD((Q238+T238),32),32-MOD((Q238+T238),32))&lt;=0.25,32,IF(MIN(MOD((Q238+T238),16),16-MOD((Q238+T238),16))&lt;=0.25,16,IF(MIN(MOD((Q238+T238),8),8-MOD((Q238+T238),8))&lt;=0.25,8,""))))</f>
        <v/>
      </c>
    </row>
    <row r="239" customFormat="false" ht="1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9" t="str">
        <f aca="false">IF(A239="","",IFERROR(INDEX(Tracks!$E$2:$E$41,MATCH(A239,Tracks!$A$2:$A$41,0)),"?"))</f>
        <v/>
      </c>
      <c r="P239" s="9" t="str">
        <f aca="false">IF(A239="","",IFERROR(N(INDEX(Tracks!$F$2:$F$41,MATCH(A239,Tracks!$A$2:$A$41,0))),""))</f>
        <v/>
      </c>
      <c r="Q239" s="10" t="str">
        <f aca="false">IF(D239&lt;&gt;"",D239-1,IF(OR(A239="",C239="",N(P239)&lt;=0),"",(N(B239)*60+C239-IFERROR(N(INDEX(Tracks!$G$2:$G$41,MATCH(A239,Tracks!$A$2:$A$41,0))),0))*P239/240))</f>
        <v/>
      </c>
      <c r="R239" s="9" t="str">
        <f aca="false">IF(Q239="","",INT(Q239)+1)</f>
        <v/>
      </c>
      <c r="S239" s="10" t="str">
        <f aca="false">IF(OR(Q239="",D239&lt;&gt;""),"",MIN(4.75,ROUND((Q239-INT(Q239))*16,0)/4+1))</f>
        <v/>
      </c>
      <c r="T239" s="11" t="str">
        <f aca="false">IF(OR(E239="",N(P239)&lt;=0),"",E239*P239/240)</f>
        <v/>
      </c>
      <c r="U239" s="9" t="str">
        <f aca="false">IF(Q239="","",IF(MIN(MOD(Q239,32),32-MOD(Q239,32))&lt;=0.25,32,IF(MIN(MOD(Q239,16),16-MOD(Q239,16))&lt;=0.25,16,IF(MIN(MOD(Q239,8),8-MOD(Q239,8))&lt;=0.25,8,""))))</f>
        <v/>
      </c>
      <c r="V239" s="9" t="str">
        <f aca="false">IF(OR(Q239="",T239=""),"",IF(MIN(MOD((Q239+T239),32),32-MOD((Q239+T239),32))&lt;=0.25,32,IF(MIN(MOD((Q239+T239),16),16-MOD((Q239+T239),16))&lt;=0.25,16,IF(MIN(MOD((Q239+T239),8),8-MOD((Q239+T239),8))&lt;=0.25,8,""))))</f>
        <v/>
      </c>
    </row>
    <row r="240" customFormat="false" ht="1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9" t="str">
        <f aca="false">IF(A240="","",IFERROR(INDEX(Tracks!$E$2:$E$41,MATCH(A240,Tracks!$A$2:$A$41,0)),"?"))</f>
        <v/>
      </c>
      <c r="P240" s="9" t="str">
        <f aca="false">IF(A240="","",IFERROR(N(INDEX(Tracks!$F$2:$F$41,MATCH(A240,Tracks!$A$2:$A$41,0))),""))</f>
        <v/>
      </c>
      <c r="Q240" s="10" t="str">
        <f aca="false">IF(D240&lt;&gt;"",D240-1,IF(OR(A240="",C240="",N(P240)&lt;=0),"",(N(B240)*60+C240-IFERROR(N(INDEX(Tracks!$G$2:$G$41,MATCH(A240,Tracks!$A$2:$A$41,0))),0))*P240/240))</f>
        <v/>
      </c>
      <c r="R240" s="9" t="str">
        <f aca="false">IF(Q240="","",INT(Q240)+1)</f>
        <v/>
      </c>
      <c r="S240" s="10" t="str">
        <f aca="false">IF(OR(Q240="",D240&lt;&gt;""),"",MIN(4.75,ROUND((Q240-INT(Q240))*16,0)/4+1))</f>
        <v/>
      </c>
      <c r="T240" s="11" t="str">
        <f aca="false">IF(OR(E240="",N(P240)&lt;=0),"",E240*P240/240)</f>
        <v/>
      </c>
      <c r="U240" s="9" t="str">
        <f aca="false">IF(Q240="","",IF(MIN(MOD(Q240,32),32-MOD(Q240,32))&lt;=0.25,32,IF(MIN(MOD(Q240,16),16-MOD(Q240,16))&lt;=0.25,16,IF(MIN(MOD(Q240,8),8-MOD(Q240,8))&lt;=0.25,8,""))))</f>
        <v/>
      </c>
      <c r="V240" s="9" t="str">
        <f aca="false">IF(OR(Q240="",T240=""),"",IF(MIN(MOD((Q240+T240),32),32-MOD((Q240+T240),32))&lt;=0.25,32,IF(MIN(MOD((Q240+T240),16),16-MOD((Q240+T240),16))&lt;=0.25,16,IF(MIN(MOD((Q240+T240),8),8-MOD((Q240+T240),8))&lt;=0.25,8,""))))</f>
        <v/>
      </c>
    </row>
    <row r="241" customFormat="false" ht="1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9" t="str">
        <f aca="false">IF(A241="","",IFERROR(INDEX(Tracks!$E$2:$E$41,MATCH(A241,Tracks!$A$2:$A$41,0)),"?"))</f>
        <v/>
      </c>
      <c r="P241" s="9" t="str">
        <f aca="false">IF(A241="","",IFERROR(N(INDEX(Tracks!$F$2:$F$41,MATCH(A241,Tracks!$A$2:$A$41,0))),""))</f>
        <v/>
      </c>
      <c r="Q241" s="10" t="str">
        <f aca="false">IF(D241&lt;&gt;"",D241-1,IF(OR(A241="",C241="",N(P241)&lt;=0),"",(N(B241)*60+C241-IFERROR(N(INDEX(Tracks!$G$2:$G$41,MATCH(A241,Tracks!$A$2:$A$41,0))),0))*P241/240))</f>
        <v/>
      </c>
      <c r="R241" s="9" t="str">
        <f aca="false">IF(Q241="","",INT(Q241)+1)</f>
        <v/>
      </c>
      <c r="S241" s="10" t="str">
        <f aca="false">IF(OR(Q241="",D241&lt;&gt;""),"",MIN(4.75,ROUND((Q241-INT(Q241))*16,0)/4+1))</f>
        <v/>
      </c>
      <c r="T241" s="11" t="str">
        <f aca="false">IF(OR(E241="",N(P241)&lt;=0),"",E241*P241/240)</f>
        <v/>
      </c>
      <c r="U241" s="9" t="str">
        <f aca="false">IF(Q241="","",IF(MIN(MOD(Q241,32),32-MOD(Q241,32))&lt;=0.25,32,IF(MIN(MOD(Q241,16),16-MOD(Q241,16))&lt;=0.25,16,IF(MIN(MOD(Q241,8),8-MOD(Q241,8))&lt;=0.25,8,""))))</f>
        <v/>
      </c>
      <c r="V241" s="9" t="str">
        <f aca="false">IF(OR(Q241="",T241=""),"",IF(MIN(MOD((Q241+T241),32),32-MOD((Q241+T241),32))&lt;=0.25,32,IF(MIN(MOD((Q241+T241),16),16-MOD((Q241+T241),16))&lt;=0.25,16,IF(MIN(MOD((Q241+T241),8),8-MOD((Q241+T241),8))&lt;=0.25,8,""))))</f>
        <v/>
      </c>
    </row>
    <row r="242" customFormat="false" ht="1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9" t="str">
        <f aca="false">IF(A242="","",IFERROR(INDEX(Tracks!$E$2:$E$41,MATCH(A242,Tracks!$A$2:$A$41,0)),"?"))</f>
        <v/>
      </c>
      <c r="P242" s="9" t="str">
        <f aca="false">IF(A242="","",IFERROR(N(INDEX(Tracks!$F$2:$F$41,MATCH(A242,Tracks!$A$2:$A$41,0))),""))</f>
        <v/>
      </c>
      <c r="Q242" s="10" t="str">
        <f aca="false">IF(D242&lt;&gt;"",D242-1,IF(OR(A242="",C242="",N(P242)&lt;=0),"",(N(B242)*60+C242-IFERROR(N(INDEX(Tracks!$G$2:$G$41,MATCH(A242,Tracks!$A$2:$A$41,0))),0))*P242/240))</f>
        <v/>
      </c>
      <c r="R242" s="9" t="str">
        <f aca="false">IF(Q242="","",INT(Q242)+1)</f>
        <v/>
      </c>
      <c r="S242" s="10" t="str">
        <f aca="false">IF(OR(Q242="",D242&lt;&gt;""),"",MIN(4.75,ROUND((Q242-INT(Q242))*16,0)/4+1))</f>
        <v/>
      </c>
      <c r="T242" s="11" t="str">
        <f aca="false">IF(OR(E242="",N(P242)&lt;=0),"",E242*P242/240)</f>
        <v/>
      </c>
      <c r="U242" s="9" t="str">
        <f aca="false">IF(Q242="","",IF(MIN(MOD(Q242,32),32-MOD(Q242,32))&lt;=0.25,32,IF(MIN(MOD(Q242,16),16-MOD(Q242,16))&lt;=0.25,16,IF(MIN(MOD(Q242,8),8-MOD(Q242,8))&lt;=0.25,8,""))))</f>
        <v/>
      </c>
      <c r="V242" s="9" t="str">
        <f aca="false">IF(OR(Q242="",T242=""),"",IF(MIN(MOD((Q242+T242),32),32-MOD((Q242+T242),32))&lt;=0.25,32,IF(MIN(MOD((Q242+T242),16),16-MOD((Q242+T242),16))&lt;=0.25,16,IF(MIN(MOD((Q242+T242),8),8-MOD((Q242+T242),8))&lt;=0.25,8,""))))</f>
        <v/>
      </c>
    </row>
    <row r="243" customFormat="false" ht="1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9" t="str">
        <f aca="false">IF(A243="","",IFERROR(INDEX(Tracks!$E$2:$E$41,MATCH(A243,Tracks!$A$2:$A$41,0)),"?"))</f>
        <v/>
      </c>
      <c r="P243" s="9" t="str">
        <f aca="false">IF(A243="","",IFERROR(N(INDEX(Tracks!$F$2:$F$41,MATCH(A243,Tracks!$A$2:$A$41,0))),""))</f>
        <v/>
      </c>
      <c r="Q243" s="10" t="str">
        <f aca="false">IF(D243&lt;&gt;"",D243-1,IF(OR(A243="",C243="",N(P243)&lt;=0),"",(N(B243)*60+C243-IFERROR(N(INDEX(Tracks!$G$2:$G$41,MATCH(A243,Tracks!$A$2:$A$41,0))),0))*P243/240))</f>
        <v/>
      </c>
      <c r="R243" s="9" t="str">
        <f aca="false">IF(Q243="","",INT(Q243)+1)</f>
        <v/>
      </c>
      <c r="S243" s="10" t="str">
        <f aca="false">IF(OR(Q243="",D243&lt;&gt;""),"",MIN(4.75,ROUND((Q243-INT(Q243))*16,0)/4+1))</f>
        <v/>
      </c>
      <c r="T243" s="11" t="str">
        <f aca="false">IF(OR(E243="",N(P243)&lt;=0),"",E243*P243/240)</f>
        <v/>
      </c>
      <c r="U243" s="9" t="str">
        <f aca="false">IF(Q243="","",IF(MIN(MOD(Q243,32),32-MOD(Q243,32))&lt;=0.25,32,IF(MIN(MOD(Q243,16),16-MOD(Q243,16))&lt;=0.25,16,IF(MIN(MOD(Q243,8),8-MOD(Q243,8))&lt;=0.25,8,""))))</f>
        <v/>
      </c>
      <c r="V243" s="9" t="str">
        <f aca="false">IF(OR(Q243="",T243=""),"",IF(MIN(MOD((Q243+T243),32),32-MOD((Q243+T243),32))&lt;=0.25,32,IF(MIN(MOD((Q243+T243),16),16-MOD((Q243+T243),16))&lt;=0.25,16,IF(MIN(MOD((Q243+T243),8),8-MOD((Q243+T243),8))&lt;=0.25,8,""))))</f>
        <v/>
      </c>
    </row>
    <row r="244" customFormat="false" ht="1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9" t="str">
        <f aca="false">IF(A244="","",IFERROR(INDEX(Tracks!$E$2:$E$41,MATCH(A244,Tracks!$A$2:$A$41,0)),"?"))</f>
        <v/>
      </c>
      <c r="P244" s="9" t="str">
        <f aca="false">IF(A244="","",IFERROR(N(INDEX(Tracks!$F$2:$F$41,MATCH(A244,Tracks!$A$2:$A$41,0))),""))</f>
        <v/>
      </c>
      <c r="Q244" s="10" t="str">
        <f aca="false">IF(D244&lt;&gt;"",D244-1,IF(OR(A244="",C244="",N(P244)&lt;=0),"",(N(B244)*60+C244-IFERROR(N(INDEX(Tracks!$G$2:$G$41,MATCH(A244,Tracks!$A$2:$A$41,0))),0))*P244/240))</f>
        <v/>
      </c>
      <c r="R244" s="9" t="str">
        <f aca="false">IF(Q244="","",INT(Q244)+1)</f>
        <v/>
      </c>
      <c r="S244" s="10" t="str">
        <f aca="false">IF(OR(Q244="",D244&lt;&gt;""),"",MIN(4.75,ROUND((Q244-INT(Q244))*16,0)/4+1))</f>
        <v/>
      </c>
      <c r="T244" s="11" t="str">
        <f aca="false">IF(OR(E244="",N(P244)&lt;=0),"",E244*P244/240)</f>
        <v/>
      </c>
      <c r="U244" s="9" t="str">
        <f aca="false">IF(Q244="","",IF(MIN(MOD(Q244,32),32-MOD(Q244,32))&lt;=0.25,32,IF(MIN(MOD(Q244,16),16-MOD(Q244,16))&lt;=0.25,16,IF(MIN(MOD(Q244,8),8-MOD(Q244,8))&lt;=0.25,8,""))))</f>
        <v/>
      </c>
      <c r="V244" s="9" t="str">
        <f aca="false">IF(OR(Q244="",T244=""),"",IF(MIN(MOD((Q244+T244),32),32-MOD((Q244+T244),32))&lt;=0.25,32,IF(MIN(MOD((Q244+T244),16),16-MOD((Q244+T244),16))&lt;=0.25,16,IF(MIN(MOD((Q244+T244),8),8-MOD((Q244+T244),8))&lt;=0.25,8,""))))</f>
        <v/>
      </c>
    </row>
    <row r="245" customFormat="false" ht="1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9" t="str">
        <f aca="false">IF(A245="","",IFERROR(INDEX(Tracks!$E$2:$E$41,MATCH(A245,Tracks!$A$2:$A$41,0)),"?"))</f>
        <v/>
      </c>
      <c r="P245" s="9" t="str">
        <f aca="false">IF(A245="","",IFERROR(N(INDEX(Tracks!$F$2:$F$41,MATCH(A245,Tracks!$A$2:$A$41,0))),""))</f>
        <v/>
      </c>
      <c r="Q245" s="10" t="str">
        <f aca="false">IF(D245&lt;&gt;"",D245-1,IF(OR(A245="",C245="",N(P245)&lt;=0),"",(N(B245)*60+C245-IFERROR(N(INDEX(Tracks!$G$2:$G$41,MATCH(A245,Tracks!$A$2:$A$41,0))),0))*P245/240))</f>
        <v/>
      </c>
      <c r="R245" s="9" t="str">
        <f aca="false">IF(Q245="","",INT(Q245)+1)</f>
        <v/>
      </c>
      <c r="S245" s="10" t="str">
        <f aca="false">IF(OR(Q245="",D245&lt;&gt;""),"",MIN(4.75,ROUND((Q245-INT(Q245))*16,0)/4+1))</f>
        <v/>
      </c>
      <c r="T245" s="11" t="str">
        <f aca="false">IF(OR(E245="",N(P245)&lt;=0),"",E245*P245/240)</f>
        <v/>
      </c>
      <c r="U245" s="9" t="str">
        <f aca="false">IF(Q245="","",IF(MIN(MOD(Q245,32),32-MOD(Q245,32))&lt;=0.25,32,IF(MIN(MOD(Q245,16),16-MOD(Q245,16))&lt;=0.25,16,IF(MIN(MOD(Q245,8),8-MOD(Q245,8))&lt;=0.25,8,""))))</f>
        <v/>
      </c>
      <c r="V245" s="9" t="str">
        <f aca="false">IF(OR(Q245="",T245=""),"",IF(MIN(MOD((Q245+T245),32),32-MOD((Q245+T245),32))&lt;=0.25,32,IF(MIN(MOD((Q245+T245),16),16-MOD((Q245+T245),16))&lt;=0.25,16,IF(MIN(MOD((Q245+T245),8),8-MOD((Q245+T245),8))&lt;=0.25,8,""))))</f>
        <v/>
      </c>
    </row>
    <row r="246" customFormat="false" ht="1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9" t="str">
        <f aca="false">IF(A246="","",IFERROR(INDEX(Tracks!$E$2:$E$41,MATCH(A246,Tracks!$A$2:$A$41,0)),"?"))</f>
        <v/>
      </c>
      <c r="P246" s="9" t="str">
        <f aca="false">IF(A246="","",IFERROR(N(INDEX(Tracks!$F$2:$F$41,MATCH(A246,Tracks!$A$2:$A$41,0))),""))</f>
        <v/>
      </c>
      <c r="Q246" s="10" t="str">
        <f aca="false">IF(D246&lt;&gt;"",D246-1,IF(OR(A246="",C246="",N(P246)&lt;=0),"",(N(B246)*60+C246-IFERROR(N(INDEX(Tracks!$G$2:$G$41,MATCH(A246,Tracks!$A$2:$A$41,0))),0))*P246/240))</f>
        <v/>
      </c>
      <c r="R246" s="9" t="str">
        <f aca="false">IF(Q246="","",INT(Q246)+1)</f>
        <v/>
      </c>
      <c r="S246" s="10" t="str">
        <f aca="false">IF(OR(Q246="",D246&lt;&gt;""),"",MIN(4.75,ROUND((Q246-INT(Q246))*16,0)/4+1))</f>
        <v/>
      </c>
      <c r="T246" s="11" t="str">
        <f aca="false">IF(OR(E246="",N(P246)&lt;=0),"",E246*P246/240)</f>
        <v/>
      </c>
      <c r="U246" s="9" t="str">
        <f aca="false">IF(Q246="","",IF(MIN(MOD(Q246,32),32-MOD(Q246,32))&lt;=0.25,32,IF(MIN(MOD(Q246,16),16-MOD(Q246,16))&lt;=0.25,16,IF(MIN(MOD(Q246,8),8-MOD(Q246,8))&lt;=0.25,8,""))))</f>
        <v/>
      </c>
      <c r="V246" s="9" t="str">
        <f aca="false">IF(OR(Q246="",T246=""),"",IF(MIN(MOD((Q246+T246),32),32-MOD((Q246+T246),32))&lt;=0.25,32,IF(MIN(MOD((Q246+T246),16),16-MOD((Q246+T246),16))&lt;=0.25,16,IF(MIN(MOD((Q246+T246),8),8-MOD((Q246+T246),8))&lt;=0.25,8,""))))</f>
        <v/>
      </c>
    </row>
    <row r="247" customFormat="false" ht="1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9" t="str">
        <f aca="false">IF(A247="","",IFERROR(INDEX(Tracks!$E$2:$E$41,MATCH(A247,Tracks!$A$2:$A$41,0)),"?"))</f>
        <v/>
      </c>
      <c r="P247" s="9" t="str">
        <f aca="false">IF(A247="","",IFERROR(N(INDEX(Tracks!$F$2:$F$41,MATCH(A247,Tracks!$A$2:$A$41,0))),""))</f>
        <v/>
      </c>
      <c r="Q247" s="10" t="str">
        <f aca="false">IF(D247&lt;&gt;"",D247-1,IF(OR(A247="",C247="",N(P247)&lt;=0),"",(N(B247)*60+C247-IFERROR(N(INDEX(Tracks!$G$2:$G$41,MATCH(A247,Tracks!$A$2:$A$41,0))),0))*P247/240))</f>
        <v/>
      </c>
      <c r="R247" s="9" t="str">
        <f aca="false">IF(Q247="","",INT(Q247)+1)</f>
        <v/>
      </c>
      <c r="S247" s="10" t="str">
        <f aca="false">IF(OR(Q247="",D247&lt;&gt;""),"",MIN(4.75,ROUND((Q247-INT(Q247))*16,0)/4+1))</f>
        <v/>
      </c>
      <c r="T247" s="11" t="str">
        <f aca="false">IF(OR(E247="",N(P247)&lt;=0),"",E247*P247/240)</f>
        <v/>
      </c>
      <c r="U247" s="9" t="str">
        <f aca="false">IF(Q247="","",IF(MIN(MOD(Q247,32),32-MOD(Q247,32))&lt;=0.25,32,IF(MIN(MOD(Q247,16),16-MOD(Q247,16))&lt;=0.25,16,IF(MIN(MOD(Q247,8),8-MOD(Q247,8))&lt;=0.25,8,""))))</f>
        <v/>
      </c>
      <c r="V247" s="9" t="str">
        <f aca="false">IF(OR(Q247="",T247=""),"",IF(MIN(MOD((Q247+T247),32),32-MOD((Q247+T247),32))&lt;=0.25,32,IF(MIN(MOD((Q247+T247),16),16-MOD((Q247+T247),16))&lt;=0.25,16,IF(MIN(MOD((Q247+T247),8),8-MOD((Q247+T247),8))&lt;=0.25,8,""))))</f>
        <v/>
      </c>
    </row>
    <row r="248" customFormat="false" ht="1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9" t="str">
        <f aca="false">IF(A248="","",IFERROR(INDEX(Tracks!$E$2:$E$41,MATCH(A248,Tracks!$A$2:$A$41,0)),"?"))</f>
        <v/>
      </c>
      <c r="P248" s="9" t="str">
        <f aca="false">IF(A248="","",IFERROR(N(INDEX(Tracks!$F$2:$F$41,MATCH(A248,Tracks!$A$2:$A$41,0))),""))</f>
        <v/>
      </c>
      <c r="Q248" s="10" t="str">
        <f aca="false">IF(D248&lt;&gt;"",D248-1,IF(OR(A248="",C248="",N(P248)&lt;=0),"",(N(B248)*60+C248-IFERROR(N(INDEX(Tracks!$G$2:$G$41,MATCH(A248,Tracks!$A$2:$A$41,0))),0))*P248/240))</f>
        <v/>
      </c>
      <c r="R248" s="9" t="str">
        <f aca="false">IF(Q248="","",INT(Q248)+1)</f>
        <v/>
      </c>
      <c r="S248" s="10" t="str">
        <f aca="false">IF(OR(Q248="",D248&lt;&gt;""),"",MIN(4.75,ROUND((Q248-INT(Q248))*16,0)/4+1))</f>
        <v/>
      </c>
      <c r="T248" s="11" t="str">
        <f aca="false">IF(OR(E248="",N(P248)&lt;=0),"",E248*P248/240)</f>
        <v/>
      </c>
      <c r="U248" s="9" t="str">
        <f aca="false">IF(Q248="","",IF(MIN(MOD(Q248,32),32-MOD(Q248,32))&lt;=0.25,32,IF(MIN(MOD(Q248,16),16-MOD(Q248,16))&lt;=0.25,16,IF(MIN(MOD(Q248,8),8-MOD(Q248,8))&lt;=0.25,8,""))))</f>
        <v/>
      </c>
      <c r="V248" s="9" t="str">
        <f aca="false">IF(OR(Q248="",T248=""),"",IF(MIN(MOD((Q248+T248),32),32-MOD((Q248+T248),32))&lt;=0.25,32,IF(MIN(MOD((Q248+T248),16),16-MOD((Q248+T248),16))&lt;=0.25,16,IF(MIN(MOD((Q248+T248),8),8-MOD((Q248+T248),8))&lt;=0.25,8,""))))</f>
        <v/>
      </c>
    </row>
    <row r="249" customFormat="false" ht="1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9" t="str">
        <f aca="false">IF(A249="","",IFERROR(INDEX(Tracks!$E$2:$E$41,MATCH(A249,Tracks!$A$2:$A$41,0)),"?"))</f>
        <v/>
      </c>
      <c r="P249" s="9" t="str">
        <f aca="false">IF(A249="","",IFERROR(N(INDEX(Tracks!$F$2:$F$41,MATCH(A249,Tracks!$A$2:$A$41,0))),""))</f>
        <v/>
      </c>
      <c r="Q249" s="10" t="str">
        <f aca="false">IF(D249&lt;&gt;"",D249-1,IF(OR(A249="",C249="",N(P249)&lt;=0),"",(N(B249)*60+C249-IFERROR(N(INDEX(Tracks!$G$2:$G$41,MATCH(A249,Tracks!$A$2:$A$41,0))),0))*P249/240))</f>
        <v/>
      </c>
      <c r="R249" s="9" t="str">
        <f aca="false">IF(Q249="","",INT(Q249)+1)</f>
        <v/>
      </c>
      <c r="S249" s="10" t="str">
        <f aca="false">IF(OR(Q249="",D249&lt;&gt;""),"",MIN(4.75,ROUND((Q249-INT(Q249))*16,0)/4+1))</f>
        <v/>
      </c>
      <c r="T249" s="11" t="str">
        <f aca="false">IF(OR(E249="",N(P249)&lt;=0),"",E249*P249/240)</f>
        <v/>
      </c>
      <c r="U249" s="9" t="str">
        <f aca="false">IF(Q249="","",IF(MIN(MOD(Q249,32),32-MOD(Q249,32))&lt;=0.25,32,IF(MIN(MOD(Q249,16),16-MOD(Q249,16))&lt;=0.25,16,IF(MIN(MOD(Q249,8),8-MOD(Q249,8))&lt;=0.25,8,""))))</f>
        <v/>
      </c>
      <c r="V249" s="9" t="str">
        <f aca="false">IF(OR(Q249="",T249=""),"",IF(MIN(MOD((Q249+T249),32),32-MOD((Q249+T249),32))&lt;=0.25,32,IF(MIN(MOD((Q249+T249),16),16-MOD((Q249+T249),16))&lt;=0.25,16,IF(MIN(MOD((Q249+T249),8),8-MOD((Q249+T249),8))&lt;=0.25,8,""))))</f>
        <v/>
      </c>
    </row>
    <row r="250" customFormat="false" ht="1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9" t="str">
        <f aca="false">IF(A250="","",IFERROR(INDEX(Tracks!$E$2:$E$41,MATCH(A250,Tracks!$A$2:$A$41,0)),"?"))</f>
        <v/>
      </c>
      <c r="P250" s="9" t="str">
        <f aca="false">IF(A250="","",IFERROR(N(INDEX(Tracks!$F$2:$F$41,MATCH(A250,Tracks!$A$2:$A$41,0))),""))</f>
        <v/>
      </c>
      <c r="Q250" s="10" t="str">
        <f aca="false">IF(D250&lt;&gt;"",D250-1,IF(OR(A250="",C250="",N(P250)&lt;=0),"",(N(B250)*60+C250-IFERROR(N(INDEX(Tracks!$G$2:$G$41,MATCH(A250,Tracks!$A$2:$A$41,0))),0))*P250/240))</f>
        <v/>
      </c>
      <c r="R250" s="9" t="str">
        <f aca="false">IF(Q250="","",INT(Q250)+1)</f>
        <v/>
      </c>
      <c r="S250" s="10" t="str">
        <f aca="false">IF(OR(Q250="",D250&lt;&gt;""),"",MIN(4.75,ROUND((Q250-INT(Q250))*16,0)/4+1))</f>
        <v/>
      </c>
      <c r="T250" s="11" t="str">
        <f aca="false">IF(OR(E250="",N(P250)&lt;=0),"",E250*P250/240)</f>
        <v/>
      </c>
      <c r="U250" s="9" t="str">
        <f aca="false">IF(Q250="","",IF(MIN(MOD(Q250,32),32-MOD(Q250,32))&lt;=0.25,32,IF(MIN(MOD(Q250,16),16-MOD(Q250,16))&lt;=0.25,16,IF(MIN(MOD(Q250,8),8-MOD(Q250,8))&lt;=0.25,8,""))))</f>
        <v/>
      </c>
      <c r="V250" s="9" t="str">
        <f aca="false">IF(OR(Q250="",T250=""),"",IF(MIN(MOD((Q250+T250),32),32-MOD((Q250+T250),32))&lt;=0.25,32,IF(MIN(MOD((Q250+T250),16),16-MOD((Q250+T250),16))&lt;=0.25,16,IF(MIN(MOD((Q250+T250),8),8-MOD((Q250+T250),8))&lt;=0.25,8,""))))</f>
        <v/>
      </c>
    </row>
    <row r="251" customFormat="false" ht="1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9" t="str">
        <f aca="false">IF(A251="","",IFERROR(INDEX(Tracks!$E$2:$E$41,MATCH(A251,Tracks!$A$2:$A$41,0)),"?"))</f>
        <v/>
      </c>
      <c r="P251" s="9" t="str">
        <f aca="false">IF(A251="","",IFERROR(N(INDEX(Tracks!$F$2:$F$41,MATCH(A251,Tracks!$A$2:$A$41,0))),""))</f>
        <v/>
      </c>
      <c r="Q251" s="10" t="str">
        <f aca="false">IF(D251&lt;&gt;"",D251-1,IF(OR(A251="",C251="",N(P251)&lt;=0),"",(N(B251)*60+C251-IFERROR(N(INDEX(Tracks!$G$2:$G$41,MATCH(A251,Tracks!$A$2:$A$41,0))),0))*P251/240))</f>
        <v/>
      </c>
      <c r="R251" s="9" t="str">
        <f aca="false">IF(Q251="","",INT(Q251)+1)</f>
        <v/>
      </c>
      <c r="S251" s="10" t="str">
        <f aca="false">IF(OR(Q251="",D251&lt;&gt;""),"",MIN(4.75,ROUND((Q251-INT(Q251))*16,0)/4+1))</f>
        <v/>
      </c>
      <c r="T251" s="11" t="str">
        <f aca="false">IF(OR(E251="",N(P251)&lt;=0),"",E251*P251/240)</f>
        <v/>
      </c>
      <c r="U251" s="9" t="str">
        <f aca="false">IF(Q251="","",IF(MIN(MOD(Q251,32),32-MOD(Q251,32))&lt;=0.25,32,IF(MIN(MOD(Q251,16),16-MOD(Q251,16))&lt;=0.25,16,IF(MIN(MOD(Q251,8),8-MOD(Q251,8))&lt;=0.25,8,""))))</f>
        <v/>
      </c>
      <c r="V251" s="9" t="str">
        <f aca="false">IF(OR(Q251="",T251=""),"",IF(MIN(MOD((Q251+T251),32),32-MOD((Q251+T251),32))&lt;=0.25,32,IF(MIN(MOD((Q251+T251),16),16-MOD((Q251+T251),16))&lt;=0.25,16,IF(MIN(MOD((Q251+T251),8),8-MOD((Q251+T251),8))&lt;=0.25,8,""))))</f>
        <v/>
      </c>
    </row>
    <row r="252" customFormat="false" ht="1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9" t="str">
        <f aca="false">IF(A252="","",IFERROR(INDEX(Tracks!$E$2:$E$41,MATCH(A252,Tracks!$A$2:$A$41,0)),"?"))</f>
        <v/>
      </c>
      <c r="P252" s="9" t="str">
        <f aca="false">IF(A252="","",IFERROR(N(INDEX(Tracks!$F$2:$F$41,MATCH(A252,Tracks!$A$2:$A$41,0))),""))</f>
        <v/>
      </c>
      <c r="Q252" s="10" t="str">
        <f aca="false">IF(D252&lt;&gt;"",D252-1,IF(OR(A252="",C252="",N(P252)&lt;=0),"",(N(B252)*60+C252-IFERROR(N(INDEX(Tracks!$G$2:$G$41,MATCH(A252,Tracks!$A$2:$A$41,0))),0))*P252/240))</f>
        <v/>
      </c>
      <c r="R252" s="9" t="str">
        <f aca="false">IF(Q252="","",INT(Q252)+1)</f>
        <v/>
      </c>
      <c r="S252" s="10" t="str">
        <f aca="false">IF(OR(Q252="",D252&lt;&gt;""),"",MIN(4.75,ROUND((Q252-INT(Q252))*16,0)/4+1))</f>
        <v/>
      </c>
      <c r="T252" s="11" t="str">
        <f aca="false">IF(OR(E252="",N(P252)&lt;=0),"",E252*P252/240)</f>
        <v/>
      </c>
      <c r="U252" s="9" t="str">
        <f aca="false">IF(Q252="","",IF(MIN(MOD(Q252,32),32-MOD(Q252,32))&lt;=0.25,32,IF(MIN(MOD(Q252,16),16-MOD(Q252,16))&lt;=0.25,16,IF(MIN(MOD(Q252,8),8-MOD(Q252,8))&lt;=0.25,8,""))))</f>
        <v/>
      </c>
      <c r="V252" s="9" t="str">
        <f aca="false">IF(OR(Q252="",T252=""),"",IF(MIN(MOD((Q252+T252),32),32-MOD((Q252+T252),32))&lt;=0.25,32,IF(MIN(MOD((Q252+T252),16),16-MOD((Q252+T252),16))&lt;=0.25,16,IF(MIN(MOD((Q252+T252),8),8-MOD((Q252+T252),8))&lt;=0.25,8,""))))</f>
        <v/>
      </c>
    </row>
    <row r="253" customFormat="false" ht="1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9" t="str">
        <f aca="false">IF(A253="","",IFERROR(INDEX(Tracks!$E$2:$E$41,MATCH(A253,Tracks!$A$2:$A$41,0)),"?"))</f>
        <v/>
      </c>
      <c r="P253" s="9" t="str">
        <f aca="false">IF(A253="","",IFERROR(N(INDEX(Tracks!$F$2:$F$41,MATCH(A253,Tracks!$A$2:$A$41,0))),""))</f>
        <v/>
      </c>
      <c r="Q253" s="10" t="str">
        <f aca="false">IF(D253&lt;&gt;"",D253-1,IF(OR(A253="",C253="",N(P253)&lt;=0),"",(N(B253)*60+C253-IFERROR(N(INDEX(Tracks!$G$2:$G$41,MATCH(A253,Tracks!$A$2:$A$41,0))),0))*P253/240))</f>
        <v/>
      </c>
      <c r="R253" s="9" t="str">
        <f aca="false">IF(Q253="","",INT(Q253)+1)</f>
        <v/>
      </c>
      <c r="S253" s="10" t="str">
        <f aca="false">IF(OR(Q253="",D253&lt;&gt;""),"",MIN(4.75,ROUND((Q253-INT(Q253))*16,0)/4+1))</f>
        <v/>
      </c>
      <c r="T253" s="11" t="str">
        <f aca="false">IF(OR(E253="",N(P253)&lt;=0),"",E253*P253/240)</f>
        <v/>
      </c>
      <c r="U253" s="9" t="str">
        <f aca="false">IF(Q253="","",IF(MIN(MOD(Q253,32),32-MOD(Q253,32))&lt;=0.25,32,IF(MIN(MOD(Q253,16),16-MOD(Q253,16))&lt;=0.25,16,IF(MIN(MOD(Q253,8),8-MOD(Q253,8))&lt;=0.25,8,""))))</f>
        <v/>
      </c>
      <c r="V253" s="9" t="str">
        <f aca="false">IF(OR(Q253="",T253=""),"",IF(MIN(MOD((Q253+T253),32),32-MOD((Q253+T253),32))&lt;=0.25,32,IF(MIN(MOD((Q253+T253),16),16-MOD((Q253+T253),16))&lt;=0.25,16,IF(MIN(MOD((Q253+T253),8),8-MOD((Q253+T253),8))&lt;=0.25,8,""))))</f>
        <v/>
      </c>
    </row>
    <row r="254" customFormat="false" ht="1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9" t="str">
        <f aca="false">IF(A254="","",IFERROR(INDEX(Tracks!$E$2:$E$41,MATCH(A254,Tracks!$A$2:$A$41,0)),"?"))</f>
        <v/>
      </c>
      <c r="P254" s="9" t="str">
        <f aca="false">IF(A254="","",IFERROR(N(INDEX(Tracks!$F$2:$F$41,MATCH(A254,Tracks!$A$2:$A$41,0))),""))</f>
        <v/>
      </c>
      <c r="Q254" s="10" t="str">
        <f aca="false">IF(D254&lt;&gt;"",D254-1,IF(OR(A254="",C254="",N(P254)&lt;=0),"",(N(B254)*60+C254-IFERROR(N(INDEX(Tracks!$G$2:$G$41,MATCH(A254,Tracks!$A$2:$A$41,0))),0))*P254/240))</f>
        <v/>
      </c>
      <c r="R254" s="9" t="str">
        <f aca="false">IF(Q254="","",INT(Q254)+1)</f>
        <v/>
      </c>
      <c r="S254" s="10" t="str">
        <f aca="false">IF(OR(Q254="",D254&lt;&gt;""),"",MIN(4.75,ROUND((Q254-INT(Q254))*16,0)/4+1))</f>
        <v/>
      </c>
      <c r="T254" s="11" t="str">
        <f aca="false">IF(OR(E254="",N(P254)&lt;=0),"",E254*P254/240)</f>
        <v/>
      </c>
      <c r="U254" s="9" t="str">
        <f aca="false">IF(Q254="","",IF(MIN(MOD(Q254,32),32-MOD(Q254,32))&lt;=0.25,32,IF(MIN(MOD(Q254,16),16-MOD(Q254,16))&lt;=0.25,16,IF(MIN(MOD(Q254,8),8-MOD(Q254,8))&lt;=0.25,8,""))))</f>
        <v/>
      </c>
      <c r="V254" s="9" t="str">
        <f aca="false">IF(OR(Q254="",T254=""),"",IF(MIN(MOD((Q254+T254),32),32-MOD((Q254+T254),32))&lt;=0.25,32,IF(MIN(MOD((Q254+T254),16),16-MOD((Q254+T254),16))&lt;=0.25,16,IF(MIN(MOD((Q254+T254),8),8-MOD((Q254+T254),8))&lt;=0.25,8,""))))</f>
        <v/>
      </c>
    </row>
    <row r="255" customFormat="false" ht="1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9" t="str">
        <f aca="false">IF(A255="","",IFERROR(INDEX(Tracks!$E$2:$E$41,MATCH(A255,Tracks!$A$2:$A$41,0)),"?"))</f>
        <v/>
      </c>
      <c r="P255" s="9" t="str">
        <f aca="false">IF(A255="","",IFERROR(N(INDEX(Tracks!$F$2:$F$41,MATCH(A255,Tracks!$A$2:$A$41,0))),""))</f>
        <v/>
      </c>
      <c r="Q255" s="10" t="str">
        <f aca="false">IF(D255&lt;&gt;"",D255-1,IF(OR(A255="",C255="",N(P255)&lt;=0),"",(N(B255)*60+C255-IFERROR(N(INDEX(Tracks!$G$2:$G$41,MATCH(A255,Tracks!$A$2:$A$41,0))),0))*P255/240))</f>
        <v/>
      </c>
      <c r="R255" s="9" t="str">
        <f aca="false">IF(Q255="","",INT(Q255)+1)</f>
        <v/>
      </c>
      <c r="S255" s="10" t="str">
        <f aca="false">IF(OR(Q255="",D255&lt;&gt;""),"",MIN(4.75,ROUND((Q255-INT(Q255))*16,0)/4+1))</f>
        <v/>
      </c>
      <c r="T255" s="11" t="str">
        <f aca="false">IF(OR(E255="",N(P255)&lt;=0),"",E255*P255/240)</f>
        <v/>
      </c>
      <c r="U255" s="9" t="str">
        <f aca="false">IF(Q255="","",IF(MIN(MOD(Q255,32),32-MOD(Q255,32))&lt;=0.25,32,IF(MIN(MOD(Q255,16),16-MOD(Q255,16))&lt;=0.25,16,IF(MIN(MOD(Q255,8),8-MOD(Q255,8))&lt;=0.25,8,""))))</f>
        <v/>
      </c>
      <c r="V255" s="9" t="str">
        <f aca="false">IF(OR(Q255="",T255=""),"",IF(MIN(MOD((Q255+T255),32),32-MOD((Q255+T255),32))&lt;=0.25,32,IF(MIN(MOD((Q255+T255),16),16-MOD((Q255+T255),16))&lt;=0.25,16,IF(MIN(MOD((Q255+T255),8),8-MOD((Q255+T255),8))&lt;=0.25,8,""))))</f>
        <v/>
      </c>
    </row>
    <row r="256" customFormat="false" ht="1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9" t="str">
        <f aca="false">IF(A256="","",IFERROR(INDEX(Tracks!$E$2:$E$41,MATCH(A256,Tracks!$A$2:$A$41,0)),"?"))</f>
        <v/>
      </c>
      <c r="P256" s="9" t="str">
        <f aca="false">IF(A256="","",IFERROR(N(INDEX(Tracks!$F$2:$F$41,MATCH(A256,Tracks!$A$2:$A$41,0))),""))</f>
        <v/>
      </c>
      <c r="Q256" s="10" t="str">
        <f aca="false">IF(D256&lt;&gt;"",D256-1,IF(OR(A256="",C256="",N(P256)&lt;=0),"",(N(B256)*60+C256-IFERROR(N(INDEX(Tracks!$G$2:$G$41,MATCH(A256,Tracks!$A$2:$A$41,0))),0))*P256/240))</f>
        <v/>
      </c>
      <c r="R256" s="9" t="str">
        <f aca="false">IF(Q256="","",INT(Q256)+1)</f>
        <v/>
      </c>
      <c r="S256" s="10" t="str">
        <f aca="false">IF(OR(Q256="",D256&lt;&gt;""),"",MIN(4.75,ROUND((Q256-INT(Q256))*16,0)/4+1))</f>
        <v/>
      </c>
      <c r="T256" s="11" t="str">
        <f aca="false">IF(OR(E256="",N(P256)&lt;=0),"",E256*P256/240)</f>
        <v/>
      </c>
      <c r="U256" s="9" t="str">
        <f aca="false">IF(Q256="","",IF(MIN(MOD(Q256,32),32-MOD(Q256,32))&lt;=0.25,32,IF(MIN(MOD(Q256,16),16-MOD(Q256,16))&lt;=0.25,16,IF(MIN(MOD(Q256,8),8-MOD(Q256,8))&lt;=0.25,8,""))))</f>
        <v/>
      </c>
      <c r="V256" s="9" t="str">
        <f aca="false">IF(OR(Q256="",T256=""),"",IF(MIN(MOD((Q256+T256),32),32-MOD((Q256+T256),32))&lt;=0.25,32,IF(MIN(MOD((Q256+T256),16),16-MOD((Q256+T256),16))&lt;=0.25,16,IF(MIN(MOD((Q256+T256),8),8-MOD((Q256+T256),8))&lt;=0.25,8,""))))</f>
        <v/>
      </c>
    </row>
    <row r="257" customFormat="false" ht="1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9" t="str">
        <f aca="false">IF(A257="","",IFERROR(INDEX(Tracks!$E$2:$E$41,MATCH(A257,Tracks!$A$2:$A$41,0)),"?"))</f>
        <v/>
      </c>
      <c r="P257" s="9" t="str">
        <f aca="false">IF(A257="","",IFERROR(N(INDEX(Tracks!$F$2:$F$41,MATCH(A257,Tracks!$A$2:$A$41,0))),""))</f>
        <v/>
      </c>
      <c r="Q257" s="10" t="str">
        <f aca="false">IF(D257&lt;&gt;"",D257-1,IF(OR(A257="",C257="",N(P257)&lt;=0),"",(N(B257)*60+C257-IFERROR(N(INDEX(Tracks!$G$2:$G$41,MATCH(A257,Tracks!$A$2:$A$41,0))),0))*P257/240))</f>
        <v/>
      </c>
      <c r="R257" s="9" t="str">
        <f aca="false">IF(Q257="","",INT(Q257)+1)</f>
        <v/>
      </c>
      <c r="S257" s="10" t="str">
        <f aca="false">IF(OR(Q257="",D257&lt;&gt;""),"",MIN(4.75,ROUND((Q257-INT(Q257))*16,0)/4+1))</f>
        <v/>
      </c>
      <c r="T257" s="11" t="str">
        <f aca="false">IF(OR(E257="",N(P257)&lt;=0),"",E257*P257/240)</f>
        <v/>
      </c>
      <c r="U257" s="9" t="str">
        <f aca="false">IF(Q257="","",IF(MIN(MOD(Q257,32),32-MOD(Q257,32))&lt;=0.25,32,IF(MIN(MOD(Q257,16),16-MOD(Q257,16))&lt;=0.25,16,IF(MIN(MOD(Q257,8),8-MOD(Q257,8))&lt;=0.25,8,""))))</f>
        <v/>
      </c>
      <c r="V257" s="9" t="str">
        <f aca="false">IF(OR(Q257="",T257=""),"",IF(MIN(MOD((Q257+T257),32),32-MOD((Q257+T257),32))&lt;=0.25,32,IF(MIN(MOD((Q257+T257),16),16-MOD((Q257+T257),16))&lt;=0.25,16,IF(MIN(MOD((Q257+T257),8),8-MOD((Q257+T257),8))&lt;=0.25,8,""))))</f>
        <v/>
      </c>
    </row>
    <row r="258" customFormat="false" ht="1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9" t="str">
        <f aca="false">IF(A258="","",IFERROR(INDEX(Tracks!$E$2:$E$41,MATCH(A258,Tracks!$A$2:$A$41,0)),"?"))</f>
        <v/>
      </c>
      <c r="P258" s="9" t="str">
        <f aca="false">IF(A258="","",IFERROR(N(INDEX(Tracks!$F$2:$F$41,MATCH(A258,Tracks!$A$2:$A$41,0))),""))</f>
        <v/>
      </c>
      <c r="Q258" s="10" t="str">
        <f aca="false">IF(D258&lt;&gt;"",D258-1,IF(OR(A258="",C258="",N(P258)&lt;=0),"",(N(B258)*60+C258-IFERROR(N(INDEX(Tracks!$G$2:$G$41,MATCH(A258,Tracks!$A$2:$A$41,0))),0))*P258/240))</f>
        <v/>
      </c>
      <c r="R258" s="9" t="str">
        <f aca="false">IF(Q258="","",INT(Q258)+1)</f>
        <v/>
      </c>
      <c r="S258" s="10" t="str">
        <f aca="false">IF(OR(Q258="",D258&lt;&gt;""),"",MIN(4.75,ROUND((Q258-INT(Q258))*16,0)/4+1))</f>
        <v/>
      </c>
      <c r="T258" s="11" t="str">
        <f aca="false">IF(OR(E258="",N(P258)&lt;=0),"",E258*P258/240)</f>
        <v/>
      </c>
      <c r="U258" s="9" t="str">
        <f aca="false">IF(Q258="","",IF(MIN(MOD(Q258,32),32-MOD(Q258,32))&lt;=0.25,32,IF(MIN(MOD(Q258,16),16-MOD(Q258,16))&lt;=0.25,16,IF(MIN(MOD(Q258,8),8-MOD(Q258,8))&lt;=0.25,8,""))))</f>
        <v/>
      </c>
      <c r="V258" s="9" t="str">
        <f aca="false">IF(OR(Q258="",T258=""),"",IF(MIN(MOD((Q258+T258),32),32-MOD((Q258+T258),32))&lt;=0.25,32,IF(MIN(MOD((Q258+T258),16),16-MOD((Q258+T258),16))&lt;=0.25,16,IF(MIN(MOD((Q258+T258),8),8-MOD((Q258+T258),8))&lt;=0.25,8,""))))</f>
        <v/>
      </c>
    </row>
    <row r="259" customFormat="false" ht="1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9" t="str">
        <f aca="false">IF(A259="","",IFERROR(INDEX(Tracks!$E$2:$E$41,MATCH(A259,Tracks!$A$2:$A$41,0)),"?"))</f>
        <v/>
      </c>
      <c r="P259" s="9" t="str">
        <f aca="false">IF(A259="","",IFERROR(N(INDEX(Tracks!$F$2:$F$41,MATCH(A259,Tracks!$A$2:$A$41,0))),""))</f>
        <v/>
      </c>
      <c r="Q259" s="10" t="str">
        <f aca="false">IF(D259&lt;&gt;"",D259-1,IF(OR(A259="",C259="",N(P259)&lt;=0),"",(N(B259)*60+C259-IFERROR(N(INDEX(Tracks!$G$2:$G$41,MATCH(A259,Tracks!$A$2:$A$41,0))),0))*P259/240))</f>
        <v/>
      </c>
      <c r="R259" s="9" t="str">
        <f aca="false">IF(Q259="","",INT(Q259)+1)</f>
        <v/>
      </c>
      <c r="S259" s="10" t="str">
        <f aca="false">IF(OR(Q259="",D259&lt;&gt;""),"",MIN(4.75,ROUND((Q259-INT(Q259))*16,0)/4+1))</f>
        <v/>
      </c>
      <c r="T259" s="11" t="str">
        <f aca="false">IF(OR(E259="",N(P259)&lt;=0),"",E259*P259/240)</f>
        <v/>
      </c>
      <c r="U259" s="9" t="str">
        <f aca="false">IF(Q259="","",IF(MIN(MOD(Q259,32),32-MOD(Q259,32))&lt;=0.25,32,IF(MIN(MOD(Q259,16),16-MOD(Q259,16))&lt;=0.25,16,IF(MIN(MOD(Q259,8),8-MOD(Q259,8))&lt;=0.25,8,""))))</f>
        <v/>
      </c>
      <c r="V259" s="9" t="str">
        <f aca="false">IF(OR(Q259="",T259=""),"",IF(MIN(MOD((Q259+T259),32),32-MOD((Q259+T259),32))&lt;=0.25,32,IF(MIN(MOD((Q259+T259),16),16-MOD((Q259+T259),16))&lt;=0.25,16,IF(MIN(MOD((Q259+T259),8),8-MOD((Q259+T259),8))&lt;=0.25,8,""))))</f>
        <v/>
      </c>
    </row>
    <row r="260" customFormat="false" ht="1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9" t="str">
        <f aca="false">IF(A260="","",IFERROR(INDEX(Tracks!$E$2:$E$41,MATCH(A260,Tracks!$A$2:$A$41,0)),"?"))</f>
        <v/>
      </c>
      <c r="P260" s="9" t="str">
        <f aca="false">IF(A260="","",IFERROR(N(INDEX(Tracks!$F$2:$F$41,MATCH(A260,Tracks!$A$2:$A$41,0))),""))</f>
        <v/>
      </c>
      <c r="Q260" s="10" t="str">
        <f aca="false">IF(D260&lt;&gt;"",D260-1,IF(OR(A260="",C260="",N(P260)&lt;=0),"",(N(B260)*60+C260-IFERROR(N(INDEX(Tracks!$G$2:$G$41,MATCH(A260,Tracks!$A$2:$A$41,0))),0))*P260/240))</f>
        <v/>
      </c>
      <c r="R260" s="9" t="str">
        <f aca="false">IF(Q260="","",INT(Q260)+1)</f>
        <v/>
      </c>
      <c r="S260" s="10" t="str">
        <f aca="false">IF(OR(Q260="",D260&lt;&gt;""),"",MIN(4.75,ROUND((Q260-INT(Q260))*16,0)/4+1))</f>
        <v/>
      </c>
      <c r="T260" s="11" t="str">
        <f aca="false">IF(OR(E260="",N(P260)&lt;=0),"",E260*P260/240)</f>
        <v/>
      </c>
      <c r="U260" s="9" t="str">
        <f aca="false">IF(Q260="","",IF(MIN(MOD(Q260,32),32-MOD(Q260,32))&lt;=0.25,32,IF(MIN(MOD(Q260,16),16-MOD(Q260,16))&lt;=0.25,16,IF(MIN(MOD(Q260,8),8-MOD(Q260,8))&lt;=0.25,8,""))))</f>
        <v/>
      </c>
      <c r="V260" s="9" t="str">
        <f aca="false">IF(OR(Q260="",T260=""),"",IF(MIN(MOD((Q260+T260),32),32-MOD((Q260+T260),32))&lt;=0.25,32,IF(MIN(MOD((Q260+T260),16),16-MOD((Q260+T260),16))&lt;=0.25,16,IF(MIN(MOD((Q260+T260),8),8-MOD((Q260+T260),8))&lt;=0.25,8,""))))</f>
        <v/>
      </c>
    </row>
    <row r="261" customFormat="false" ht="1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9" t="str">
        <f aca="false">IF(A261="","",IFERROR(INDEX(Tracks!$E$2:$E$41,MATCH(A261,Tracks!$A$2:$A$41,0)),"?"))</f>
        <v/>
      </c>
      <c r="P261" s="9" t="str">
        <f aca="false">IF(A261="","",IFERROR(N(INDEX(Tracks!$F$2:$F$41,MATCH(A261,Tracks!$A$2:$A$41,0))),""))</f>
        <v/>
      </c>
      <c r="Q261" s="10" t="str">
        <f aca="false">IF(D261&lt;&gt;"",D261-1,IF(OR(A261="",C261="",N(P261)&lt;=0),"",(N(B261)*60+C261-IFERROR(N(INDEX(Tracks!$G$2:$G$41,MATCH(A261,Tracks!$A$2:$A$41,0))),0))*P261/240))</f>
        <v/>
      </c>
      <c r="R261" s="9" t="str">
        <f aca="false">IF(Q261="","",INT(Q261)+1)</f>
        <v/>
      </c>
      <c r="S261" s="10" t="str">
        <f aca="false">IF(OR(Q261="",D261&lt;&gt;""),"",MIN(4.75,ROUND((Q261-INT(Q261))*16,0)/4+1))</f>
        <v/>
      </c>
      <c r="T261" s="11" t="str">
        <f aca="false">IF(OR(E261="",N(P261)&lt;=0),"",E261*P261/240)</f>
        <v/>
      </c>
      <c r="U261" s="9" t="str">
        <f aca="false">IF(Q261="","",IF(MIN(MOD(Q261,32),32-MOD(Q261,32))&lt;=0.25,32,IF(MIN(MOD(Q261,16),16-MOD(Q261,16))&lt;=0.25,16,IF(MIN(MOD(Q261,8),8-MOD(Q261,8))&lt;=0.25,8,""))))</f>
        <v/>
      </c>
      <c r="V261" s="9" t="str">
        <f aca="false">IF(OR(Q261="",T261=""),"",IF(MIN(MOD((Q261+T261),32),32-MOD((Q261+T261),32))&lt;=0.25,32,IF(MIN(MOD((Q261+T261),16),16-MOD((Q261+T261),16))&lt;=0.25,16,IF(MIN(MOD((Q261+T261),8),8-MOD((Q261+T261),8))&lt;=0.25,8,""))))</f>
        <v/>
      </c>
    </row>
    <row r="262" customFormat="false" ht="1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9" t="str">
        <f aca="false">IF(A262="","",IFERROR(INDEX(Tracks!$E$2:$E$41,MATCH(A262,Tracks!$A$2:$A$41,0)),"?"))</f>
        <v/>
      </c>
      <c r="P262" s="9" t="str">
        <f aca="false">IF(A262="","",IFERROR(N(INDEX(Tracks!$F$2:$F$41,MATCH(A262,Tracks!$A$2:$A$41,0))),""))</f>
        <v/>
      </c>
      <c r="Q262" s="10" t="str">
        <f aca="false">IF(D262&lt;&gt;"",D262-1,IF(OR(A262="",C262="",N(P262)&lt;=0),"",(N(B262)*60+C262-IFERROR(N(INDEX(Tracks!$G$2:$G$41,MATCH(A262,Tracks!$A$2:$A$41,0))),0))*P262/240))</f>
        <v/>
      </c>
      <c r="R262" s="9" t="str">
        <f aca="false">IF(Q262="","",INT(Q262)+1)</f>
        <v/>
      </c>
      <c r="S262" s="10" t="str">
        <f aca="false">IF(OR(Q262="",D262&lt;&gt;""),"",MIN(4.75,ROUND((Q262-INT(Q262))*16,0)/4+1))</f>
        <v/>
      </c>
      <c r="T262" s="11" t="str">
        <f aca="false">IF(OR(E262="",N(P262)&lt;=0),"",E262*P262/240)</f>
        <v/>
      </c>
      <c r="U262" s="9" t="str">
        <f aca="false">IF(Q262="","",IF(MIN(MOD(Q262,32),32-MOD(Q262,32))&lt;=0.25,32,IF(MIN(MOD(Q262,16),16-MOD(Q262,16))&lt;=0.25,16,IF(MIN(MOD(Q262,8),8-MOD(Q262,8))&lt;=0.25,8,""))))</f>
        <v/>
      </c>
      <c r="V262" s="9" t="str">
        <f aca="false">IF(OR(Q262="",T262=""),"",IF(MIN(MOD((Q262+T262),32),32-MOD((Q262+T262),32))&lt;=0.25,32,IF(MIN(MOD((Q262+T262),16),16-MOD((Q262+T262),16))&lt;=0.25,16,IF(MIN(MOD((Q262+T262),8),8-MOD((Q262+T262),8))&lt;=0.25,8,""))))</f>
        <v/>
      </c>
    </row>
    <row r="263" customFormat="false" ht="1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9" t="str">
        <f aca="false">IF(A263="","",IFERROR(INDEX(Tracks!$E$2:$E$41,MATCH(A263,Tracks!$A$2:$A$41,0)),"?"))</f>
        <v/>
      </c>
      <c r="P263" s="9" t="str">
        <f aca="false">IF(A263="","",IFERROR(N(INDEX(Tracks!$F$2:$F$41,MATCH(A263,Tracks!$A$2:$A$41,0))),""))</f>
        <v/>
      </c>
      <c r="Q263" s="10" t="str">
        <f aca="false">IF(D263&lt;&gt;"",D263-1,IF(OR(A263="",C263="",N(P263)&lt;=0),"",(N(B263)*60+C263-IFERROR(N(INDEX(Tracks!$G$2:$G$41,MATCH(A263,Tracks!$A$2:$A$41,0))),0))*P263/240))</f>
        <v/>
      </c>
      <c r="R263" s="9" t="str">
        <f aca="false">IF(Q263="","",INT(Q263)+1)</f>
        <v/>
      </c>
      <c r="S263" s="10" t="str">
        <f aca="false">IF(OR(Q263="",D263&lt;&gt;""),"",MIN(4.75,ROUND((Q263-INT(Q263))*16,0)/4+1))</f>
        <v/>
      </c>
      <c r="T263" s="11" t="str">
        <f aca="false">IF(OR(E263="",N(P263)&lt;=0),"",E263*P263/240)</f>
        <v/>
      </c>
      <c r="U263" s="9" t="str">
        <f aca="false">IF(Q263="","",IF(MIN(MOD(Q263,32),32-MOD(Q263,32))&lt;=0.25,32,IF(MIN(MOD(Q263,16),16-MOD(Q263,16))&lt;=0.25,16,IF(MIN(MOD(Q263,8),8-MOD(Q263,8))&lt;=0.25,8,""))))</f>
        <v/>
      </c>
      <c r="V263" s="9" t="str">
        <f aca="false">IF(OR(Q263="",T263=""),"",IF(MIN(MOD((Q263+T263),32),32-MOD((Q263+T263),32))&lt;=0.25,32,IF(MIN(MOD((Q263+T263),16),16-MOD((Q263+T263),16))&lt;=0.25,16,IF(MIN(MOD((Q263+T263),8),8-MOD((Q263+T263),8))&lt;=0.25,8,""))))</f>
        <v/>
      </c>
    </row>
    <row r="264" customFormat="false" ht="1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9" t="str">
        <f aca="false">IF(A264="","",IFERROR(INDEX(Tracks!$E$2:$E$41,MATCH(A264,Tracks!$A$2:$A$41,0)),"?"))</f>
        <v/>
      </c>
      <c r="P264" s="9" t="str">
        <f aca="false">IF(A264="","",IFERROR(N(INDEX(Tracks!$F$2:$F$41,MATCH(A264,Tracks!$A$2:$A$41,0))),""))</f>
        <v/>
      </c>
      <c r="Q264" s="10" t="str">
        <f aca="false">IF(D264&lt;&gt;"",D264-1,IF(OR(A264="",C264="",N(P264)&lt;=0),"",(N(B264)*60+C264-IFERROR(N(INDEX(Tracks!$G$2:$G$41,MATCH(A264,Tracks!$A$2:$A$41,0))),0))*P264/240))</f>
        <v/>
      </c>
      <c r="R264" s="9" t="str">
        <f aca="false">IF(Q264="","",INT(Q264)+1)</f>
        <v/>
      </c>
      <c r="S264" s="10" t="str">
        <f aca="false">IF(OR(Q264="",D264&lt;&gt;""),"",MIN(4.75,ROUND((Q264-INT(Q264))*16,0)/4+1))</f>
        <v/>
      </c>
      <c r="T264" s="11" t="str">
        <f aca="false">IF(OR(E264="",N(P264)&lt;=0),"",E264*P264/240)</f>
        <v/>
      </c>
      <c r="U264" s="9" t="str">
        <f aca="false">IF(Q264="","",IF(MIN(MOD(Q264,32),32-MOD(Q264,32))&lt;=0.25,32,IF(MIN(MOD(Q264,16),16-MOD(Q264,16))&lt;=0.25,16,IF(MIN(MOD(Q264,8),8-MOD(Q264,8))&lt;=0.25,8,""))))</f>
        <v/>
      </c>
      <c r="V264" s="9" t="str">
        <f aca="false">IF(OR(Q264="",T264=""),"",IF(MIN(MOD((Q264+T264),32),32-MOD((Q264+T264),32))&lt;=0.25,32,IF(MIN(MOD((Q264+T264),16),16-MOD((Q264+T264),16))&lt;=0.25,16,IF(MIN(MOD((Q264+T264),8),8-MOD((Q264+T264),8))&lt;=0.25,8,""))))</f>
        <v/>
      </c>
    </row>
    <row r="265" customFormat="false" ht="1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9" t="str">
        <f aca="false">IF(A265="","",IFERROR(INDEX(Tracks!$E$2:$E$41,MATCH(A265,Tracks!$A$2:$A$41,0)),"?"))</f>
        <v/>
      </c>
      <c r="P265" s="9" t="str">
        <f aca="false">IF(A265="","",IFERROR(N(INDEX(Tracks!$F$2:$F$41,MATCH(A265,Tracks!$A$2:$A$41,0))),""))</f>
        <v/>
      </c>
      <c r="Q265" s="10" t="str">
        <f aca="false">IF(D265&lt;&gt;"",D265-1,IF(OR(A265="",C265="",N(P265)&lt;=0),"",(N(B265)*60+C265-IFERROR(N(INDEX(Tracks!$G$2:$G$41,MATCH(A265,Tracks!$A$2:$A$41,0))),0))*P265/240))</f>
        <v/>
      </c>
      <c r="R265" s="9" t="str">
        <f aca="false">IF(Q265="","",INT(Q265)+1)</f>
        <v/>
      </c>
      <c r="S265" s="10" t="str">
        <f aca="false">IF(OR(Q265="",D265&lt;&gt;""),"",MIN(4.75,ROUND((Q265-INT(Q265))*16,0)/4+1))</f>
        <v/>
      </c>
      <c r="T265" s="11" t="str">
        <f aca="false">IF(OR(E265="",N(P265)&lt;=0),"",E265*P265/240)</f>
        <v/>
      </c>
      <c r="U265" s="9" t="str">
        <f aca="false">IF(Q265="","",IF(MIN(MOD(Q265,32),32-MOD(Q265,32))&lt;=0.25,32,IF(MIN(MOD(Q265,16),16-MOD(Q265,16))&lt;=0.25,16,IF(MIN(MOD(Q265,8),8-MOD(Q265,8))&lt;=0.25,8,""))))</f>
        <v/>
      </c>
      <c r="V265" s="9" t="str">
        <f aca="false">IF(OR(Q265="",T265=""),"",IF(MIN(MOD((Q265+T265),32),32-MOD((Q265+T265),32))&lt;=0.25,32,IF(MIN(MOD((Q265+T265),16),16-MOD((Q265+T265),16))&lt;=0.25,16,IF(MIN(MOD((Q265+T265),8),8-MOD((Q265+T265),8))&lt;=0.25,8,""))))</f>
        <v/>
      </c>
    </row>
    <row r="266" customFormat="false" ht="1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9" t="str">
        <f aca="false">IF(A266="","",IFERROR(INDEX(Tracks!$E$2:$E$41,MATCH(A266,Tracks!$A$2:$A$41,0)),"?"))</f>
        <v/>
      </c>
      <c r="P266" s="9" t="str">
        <f aca="false">IF(A266="","",IFERROR(N(INDEX(Tracks!$F$2:$F$41,MATCH(A266,Tracks!$A$2:$A$41,0))),""))</f>
        <v/>
      </c>
      <c r="Q266" s="10" t="str">
        <f aca="false">IF(D266&lt;&gt;"",D266-1,IF(OR(A266="",C266="",N(P266)&lt;=0),"",(N(B266)*60+C266-IFERROR(N(INDEX(Tracks!$G$2:$G$41,MATCH(A266,Tracks!$A$2:$A$41,0))),0))*P266/240))</f>
        <v/>
      </c>
      <c r="R266" s="9" t="str">
        <f aca="false">IF(Q266="","",INT(Q266)+1)</f>
        <v/>
      </c>
      <c r="S266" s="10" t="str">
        <f aca="false">IF(OR(Q266="",D266&lt;&gt;""),"",MIN(4.75,ROUND((Q266-INT(Q266))*16,0)/4+1))</f>
        <v/>
      </c>
      <c r="T266" s="11" t="str">
        <f aca="false">IF(OR(E266="",N(P266)&lt;=0),"",E266*P266/240)</f>
        <v/>
      </c>
      <c r="U266" s="9" t="str">
        <f aca="false">IF(Q266="","",IF(MIN(MOD(Q266,32),32-MOD(Q266,32))&lt;=0.25,32,IF(MIN(MOD(Q266,16),16-MOD(Q266,16))&lt;=0.25,16,IF(MIN(MOD(Q266,8),8-MOD(Q266,8))&lt;=0.25,8,""))))</f>
        <v/>
      </c>
      <c r="V266" s="9" t="str">
        <f aca="false">IF(OR(Q266="",T266=""),"",IF(MIN(MOD((Q266+T266),32),32-MOD((Q266+T266),32))&lt;=0.25,32,IF(MIN(MOD((Q266+T266),16),16-MOD((Q266+T266),16))&lt;=0.25,16,IF(MIN(MOD((Q266+T266),8),8-MOD((Q266+T266),8))&lt;=0.25,8,""))))</f>
        <v/>
      </c>
    </row>
    <row r="267" customFormat="false" ht="1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9" t="str">
        <f aca="false">IF(A267="","",IFERROR(INDEX(Tracks!$E$2:$E$41,MATCH(A267,Tracks!$A$2:$A$41,0)),"?"))</f>
        <v/>
      </c>
      <c r="P267" s="9" t="str">
        <f aca="false">IF(A267="","",IFERROR(N(INDEX(Tracks!$F$2:$F$41,MATCH(A267,Tracks!$A$2:$A$41,0))),""))</f>
        <v/>
      </c>
      <c r="Q267" s="10" t="str">
        <f aca="false">IF(D267&lt;&gt;"",D267-1,IF(OR(A267="",C267="",N(P267)&lt;=0),"",(N(B267)*60+C267-IFERROR(N(INDEX(Tracks!$G$2:$G$41,MATCH(A267,Tracks!$A$2:$A$41,0))),0))*P267/240))</f>
        <v/>
      </c>
      <c r="R267" s="9" t="str">
        <f aca="false">IF(Q267="","",INT(Q267)+1)</f>
        <v/>
      </c>
      <c r="S267" s="10" t="str">
        <f aca="false">IF(OR(Q267="",D267&lt;&gt;""),"",MIN(4.75,ROUND((Q267-INT(Q267))*16,0)/4+1))</f>
        <v/>
      </c>
      <c r="T267" s="11" t="str">
        <f aca="false">IF(OR(E267="",N(P267)&lt;=0),"",E267*P267/240)</f>
        <v/>
      </c>
      <c r="U267" s="9" t="str">
        <f aca="false">IF(Q267="","",IF(MIN(MOD(Q267,32),32-MOD(Q267,32))&lt;=0.25,32,IF(MIN(MOD(Q267,16),16-MOD(Q267,16))&lt;=0.25,16,IF(MIN(MOD(Q267,8),8-MOD(Q267,8))&lt;=0.25,8,""))))</f>
        <v/>
      </c>
      <c r="V267" s="9" t="str">
        <f aca="false">IF(OR(Q267="",T267=""),"",IF(MIN(MOD((Q267+T267),32),32-MOD((Q267+T267),32))&lt;=0.25,32,IF(MIN(MOD((Q267+T267),16),16-MOD((Q267+T267),16))&lt;=0.25,16,IF(MIN(MOD((Q267+T267),8),8-MOD((Q267+T267),8))&lt;=0.25,8,""))))</f>
        <v/>
      </c>
    </row>
    <row r="268" customFormat="false" ht="1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9" t="str">
        <f aca="false">IF(A268="","",IFERROR(INDEX(Tracks!$E$2:$E$41,MATCH(A268,Tracks!$A$2:$A$41,0)),"?"))</f>
        <v/>
      </c>
      <c r="P268" s="9" t="str">
        <f aca="false">IF(A268="","",IFERROR(N(INDEX(Tracks!$F$2:$F$41,MATCH(A268,Tracks!$A$2:$A$41,0))),""))</f>
        <v/>
      </c>
      <c r="Q268" s="10" t="str">
        <f aca="false">IF(D268&lt;&gt;"",D268-1,IF(OR(A268="",C268="",N(P268)&lt;=0),"",(N(B268)*60+C268-IFERROR(N(INDEX(Tracks!$G$2:$G$41,MATCH(A268,Tracks!$A$2:$A$41,0))),0))*P268/240))</f>
        <v/>
      </c>
      <c r="R268" s="9" t="str">
        <f aca="false">IF(Q268="","",INT(Q268)+1)</f>
        <v/>
      </c>
      <c r="S268" s="10" t="str">
        <f aca="false">IF(OR(Q268="",D268&lt;&gt;""),"",MIN(4.75,ROUND((Q268-INT(Q268))*16,0)/4+1))</f>
        <v/>
      </c>
      <c r="T268" s="11" t="str">
        <f aca="false">IF(OR(E268="",N(P268)&lt;=0),"",E268*P268/240)</f>
        <v/>
      </c>
      <c r="U268" s="9" t="str">
        <f aca="false">IF(Q268="","",IF(MIN(MOD(Q268,32),32-MOD(Q268,32))&lt;=0.25,32,IF(MIN(MOD(Q268,16),16-MOD(Q268,16))&lt;=0.25,16,IF(MIN(MOD(Q268,8),8-MOD(Q268,8))&lt;=0.25,8,""))))</f>
        <v/>
      </c>
      <c r="V268" s="9" t="str">
        <f aca="false">IF(OR(Q268="",T268=""),"",IF(MIN(MOD((Q268+T268),32),32-MOD((Q268+T268),32))&lt;=0.25,32,IF(MIN(MOD((Q268+T268),16),16-MOD((Q268+T268),16))&lt;=0.25,16,IF(MIN(MOD((Q268+T268),8),8-MOD((Q268+T268),8))&lt;=0.25,8,""))))</f>
        <v/>
      </c>
    </row>
    <row r="269" customFormat="false" ht="1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9" t="str">
        <f aca="false">IF(A269="","",IFERROR(INDEX(Tracks!$E$2:$E$41,MATCH(A269,Tracks!$A$2:$A$41,0)),"?"))</f>
        <v/>
      </c>
      <c r="P269" s="9" t="str">
        <f aca="false">IF(A269="","",IFERROR(N(INDEX(Tracks!$F$2:$F$41,MATCH(A269,Tracks!$A$2:$A$41,0))),""))</f>
        <v/>
      </c>
      <c r="Q269" s="10" t="str">
        <f aca="false">IF(D269&lt;&gt;"",D269-1,IF(OR(A269="",C269="",N(P269)&lt;=0),"",(N(B269)*60+C269-IFERROR(N(INDEX(Tracks!$G$2:$G$41,MATCH(A269,Tracks!$A$2:$A$41,0))),0))*P269/240))</f>
        <v/>
      </c>
      <c r="R269" s="9" t="str">
        <f aca="false">IF(Q269="","",INT(Q269)+1)</f>
        <v/>
      </c>
      <c r="S269" s="10" t="str">
        <f aca="false">IF(OR(Q269="",D269&lt;&gt;""),"",MIN(4.75,ROUND((Q269-INT(Q269))*16,0)/4+1))</f>
        <v/>
      </c>
      <c r="T269" s="11" t="str">
        <f aca="false">IF(OR(E269="",N(P269)&lt;=0),"",E269*P269/240)</f>
        <v/>
      </c>
      <c r="U269" s="9" t="str">
        <f aca="false">IF(Q269="","",IF(MIN(MOD(Q269,32),32-MOD(Q269,32))&lt;=0.25,32,IF(MIN(MOD(Q269,16),16-MOD(Q269,16))&lt;=0.25,16,IF(MIN(MOD(Q269,8),8-MOD(Q269,8))&lt;=0.25,8,""))))</f>
        <v/>
      </c>
      <c r="V269" s="9" t="str">
        <f aca="false">IF(OR(Q269="",T269=""),"",IF(MIN(MOD((Q269+T269),32),32-MOD((Q269+T269),32))&lt;=0.25,32,IF(MIN(MOD((Q269+T269),16),16-MOD((Q269+T269),16))&lt;=0.25,16,IF(MIN(MOD((Q269+T269),8),8-MOD((Q269+T269),8))&lt;=0.25,8,""))))</f>
        <v/>
      </c>
    </row>
    <row r="270" customFormat="false" ht="1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9" t="str">
        <f aca="false">IF(A270="","",IFERROR(INDEX(Tracks!$E$2:$E$41,MATCH(A270,Tracks!$A$2:$A$41,0)),"?"))</f>
        <v/>
      </c>
      <c r="P270" s="9" t="str">
        <f aca="false">IF(A270="","",IFERROR(N(INDEX(Tracks!$F$2:$F$41,MATCH(A270,Tracks!$A$2:$A$41,0))),""))</f>
        <v/>
      </c>
      <c r="Q270" s="10" t="str">
        <f aca="false">IF(D270&lt;&gt;"",D270-1,IF(OR(A270="",C270="",N(P270)&lt;=0),"",(N(B270)*60+C270-IFERROR(N(INDEX(Tracks!$G$2:$G$41,MATCH(A270,Tracks!$A$2:$A$41,0))),0))*P270/240))</f>
        <v/>
      </c>
      <c r="R270" s="9" t="str">
        <f aca="false">IF(Q270="","",INT(Q270)+1)</f>
        <v/>
      </c>
      <c r="S270" s="10" t="str">
        <f aca="false">IF(OR(Q270="",D270&lt;&gt;""),"",MIN(4.75,ROUND((Q270-INT(Q270))*16,0)/4+1))</f>
        <v/>
      </c>
      <c r="T270" s="11" t="str">
        <f aca="false">IF(OR(E270="",N(P270)&lt;=0),"",E270*P270/240)</f>
        <v/>
      </c>
      <c r="U270" s="9" t="str">
        <f aca="false">IF(Q270="","",IF(MIN(MOD(Q270,32),32-MOD(Q270,32))&lt;=0.25,32,IF(MIN(MOD(Q270,16),16-MOD(Q270,16))&lt;=0.25,16,IF(MIN(MOD(Q270,8),8-MOD(Q270,8))&lt;=0.25,8,""))))</f>
        <v/>
      </c>
      <c r="V270" s="9" t="str">
        <f aca="false">IF(OR(Q270="",T270=""),"",IF(MIN(MOD((Q270+T270),32),32-MOD((Q270+T270),32))&lt;=0.25,32,IF(MIN(MOD((Q270+T270),16),16-MOD((Q270+T270),16))&lt;=0.25,16,IF(MIN(MOD((Q270+T270),8),8-MOD((Q270+T270),8))&lt;=0.25,8,""))))</f>
        <v/>
      </c>
    </row>
    <row r="271" customFormat="false" ht="1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9" t="str">
        <f aca="false">IF(A271="","",IFERROR(INDEX(Tracks!$E$2:$E$41,MATCH(A271,Tracks!$A$2:$A$41,0)),"?"))</f>
        <v/>
      </c>
      <c r="P271" s="9" t="str">
        <f aca="false">IF(A271="","",IFERROR(N(INDEX(Tracks!$F$2:$F$41,MATCH(A271,Tracks!$A$2:$A$41,0))),""))</f>
        <v/>
      </c>
      <c r="Q271" s="10" t="str">
        <f aca="false">IF(D271&lt;&gt;"",D271-1,IF(OR(A271="",C271="",N(P271)&lt;=0),"",(N(B271)*60+C271-IFERROR(N(INDEX(Tracks!$G$2:$G$41,MATCH(A271,Tracks!$A$2:$A$41,0))),0))*P271/240))</f>
        <v/>
      </c>
      <c r="R271" s="9" t="str">
        <f aca="false">IF(Q271="","",INT(Q271)+1)</f>
        <v/>
      </c>
      <c r="S271" s="10" t="str">
        <f aca="false">IF(OR(Q271="",D271&lt;&gt;""),"",MIN(4.75,ROUND((Q271-INT(Q271))*16,0)/4+1))</f>
        <v/>
      </c>
      <c r="T271" s="11" t="str">
        <f aca="false">IF(OR(E271="",N(P271)&lt;=0),"",E271*P271/240)</f>
        <v/>
      </c>
      <c r="U271" s="9" t="str">
        <f aca="false">IF(Q271="","",IF(MIN(MOD(Q271,32),32-MOD(Q271,32))&lt;=0.25,32,IF(MIN(MOD(Q271,16),16-MOD(Q271,16))&lt;=0.25,16,IF(MIN(MOD(Q271,8),8-MOD(Q271,8))&lt;=0.25,8,""))))</f>
        <v/>
      </c>
      <c r="V271" s="9" t="str">
        <f aca="false">IF(OR(Q271="",T271=""),"",IF(MIN(MOD((Q271+T271),32),32-MOD((Q271+T271),32))&lt;=0.25,32,IF(MIN(MOD((Q271+T271),16),16-MOD((Q271+T271),16))&lt;=0.25,16,IF(MIN(MOD((Q271+T271),8),8-MOD((Q271+T271),8))&lt;=0.25,8,""))))</f>
        <v/>
      </c>
    </row>
    <row r="272" customFormat="false" ht="1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9" t="str">
        <f aca="false">IF(A272="","",IFERROR(INDEX(Tracks!$E$2:$E$41,MATCH(A272,Tracks!$A$2:$A$41,0)),"?"))</f>
        <v/>
      </c>
      <c r="P272" s="9" t="str">
        <f aca="false">IF(A272="","",IFERROR(N(INDEX(Tracks!$F$2:$F$41,MATCH(A272,Tracks!$A$2:$A$41,0))),""))</f>
        <v/>
      </c>
      <c r="Q272" s="10" t="str">
        <f aca="false">IF(D272&lt;&gt;"",D272-1,IF(OR(A272="",C272="",N(P272)&lt;=0),"",(N(B272)*60+C272-IFERROR(N(INDEX(Tracks!$G$2:$G$41,MATCH(A272,Tracks!$A$2:$A$41,0))),0))*P272/240))</f>
        <v/>
      </c>
      <c r="R272" s="9" t="str">
        <f aca="false">IF(Q272="","",INT(Q272)+1)</f>
        <v/>
      </c>
      <c r="S272" s="10" t="str">
        <f aca="false">IF(OR(Q272="",D272&lt;&gt;""),"",MIN(4.75,ROUND((Q272-INT(Q272))*16,0)/4+1))</f>
        <v/>
      </c>
      <c r="T272" s="11" t="str">
        <f aca="false">IF(OR(E272="",N(P272)&lt;=0),"",E272*P272/240)</f>
        <v/>
      </c>
      <c r="U272" s="9" t="str">
        <f aca="false">IF(Q272="","",IF(MIN(MOD(Q272,32),32-MOD(Q272,32))&lt;=0.25,32,IF(MIN(MOD(Q272,16),16-MOD(Q272,16))&lt;=0.25,16,IF(MIN(MOD(Q272,8),8-MOD(Q272,8))&lt;=0.25,8,""))))</f>
        <v/>
      </c>
      <c r="V272" s="9" t="str">
        <f aca="false">IF(OR(Q272="",T272=""),"",IF(MIN(MOD((Q272+T272),32),32-MOD((Q272+T272),32))&lt;=0.25,32,IF(MIN(MOD((Q272+T272),16),16-MOD((Q272+T272),16))&lt;=0.25,16,IF(MIN(MOD((Q272+T272),8),8-MOD((Q272+T272),8))&lt;=0.25,8,""))))</f>
        <v/>
      </c>
    </row>
    <row r="273" customFormat="false" ht="1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9" t="str">
        <f aca="false">IF(A273="","",IFERROR(INDEX(Tracks!$E$2:$E$41,MATCH(A273,Tracks!$A$2:$A$41,0)),"?"))</f>
        <v/>
      </c>
      <c r="P273" s="9" t="str">
        <f aca="false">IF(A273="","",IFERROR(N(INDEX(Tracks!$F$2:$F$41,MATCH(A273,Tracks!$A$2:$A$41,0))),""))</f>
        <v/>
      </c>
      <c r="Q273" s="10" t="str">
        <f aca="false">IF(D273&lt;&gt;"",D273-1,IF(OR(A273="",C273="",N(P273)&lt;=0),"",(N(B273)*60+C273-IFERROR(N(INDEX(Tracks!$G$2:$G$41,MATCH(A273,Tracks!$A$2:$A$41,0))),0))*P273/240))</f>
        <v/>
      </c>
      <c r="R273" s="9" t="str">
        <f aca="false">IF(Q273="","",INT(Q273)+1)</f>
        <v/>
      </c>
      <c r="S273" s="10" t="str">
        <f aca="false">IF(OR(Q273="",D273&lt;&gt;""),"",MIN(4.75,ROUND((Q273-INT(Q273))*16,0)/4+1))</f>
        <v/>
      </c>
      <c r="T273" s="11" t="str">
        <f aca="false">IF(OR(E273="",N(P273)&lt;=0),"",E273*P273/240)</f>
        <v/>
      </c>
      <c r="U273" s="9" t="str">
        <f aca="false">IF(Q273="","",IF(MIN(MOD(Q273,32),32-MOD(Q273,32))&lt;=0.25,32,IF(MIN(MOD(Q273,16),16-MOD(Q273,16))&lt;=0.25,16,IF(MIN(MOD(Q273,8),8-MOD(Q273,8))&lt;=0.25,8,""))))</f>
        <v/>
      </c>
      <c r="V273" s="9" t="str">
        <f aca="false">IF(OR(Q273="",T273=""),"",IF(MIN(MOD((Q273+T273),32),32-MOD((Q273+T273),32))&lt;=0.25,32,IF(MIN(MOD((Q273+T273),16),16-MOD((Q273+T273),16))&lt;=0.25,16,IF(MIN(MOD((Q273+T273),8),8-MOD((Q273+T273),8))&lt;=0.25,8,""))))</f>
        <v/>
      </c>
    </row>
    <row r="274" customFormat="false" ht="1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9" t="str">
        <f aca="false">IF(A274="","",IFERROR(INDEX(Tracks!$E$2:$E$41,MATCH(A274,Tracks!$A$2:$A$41,0)),"?"))</f>
        <v/>
      </c>
      <c r="P274" s="9" t="str">
        <f aca="false">IF(A274="","",IFERROR(N(INDEX(Tracks!$F$2:$F$41,MATCH(A274,Tracks!$A$2:$A$41,0))),""))</f>
        <v/>
      </c>
      <c r="Q274" s="10" t="str">
        <f aca="false">IF(D274&lt;&gt;"",D274-1,IF(OR(A274="",C274="",N(P274)&lt;=0),"",(N(B274)*60+C274-IFERROR(N(INDEX(Tracks!$G$2:$G$41,MATCH(A274,Tracks!$A$2:$A$41,0))),0))*P274/240))</f>
        <v/>
      </c>
      <c r="R274" s="9" t="str">
        <f aca="false">IF(Q274="","",INT(Q274)+1)</f>
        <v/>
      </c>
      <c r="S274" s="10" t="str">
        <f aca="false">IF(OR(Q274="",D274&lt;&gt;""),"",MIN(4.75,ROUND((Q274-INT(Q274))*16,0)/4+1))</f>
        <v/>
      </c>
      <c r="T274" s="11" t="str">
        <f aca="false">IF(OR(E274="",N(P274)&lt;=0),"",E274*P274/240)</f>
        <v/>
      </c>
      <c r="U274" s="9" t="str">
        <f aca="false">IF(Q274="","",IF(MIN(MOD(Q274,32),32-MOD(Q274,32))&lt;=0.25,32,IF(MIN(MOD(Q274,16),16-MOD(Q274,16))&lt;=0.25,16,IF(MIN(MOD(Q274,8),8-MOD(Q274,8))&lt;=0.25,8,""))))</f>
        <v/>
      </c>
      <c r="V274" s="9" t="str">
        <f aca="false">IF(OR(Q274="",T274=""),"",IF(MIN(MOD((Q274+T274),32),32-MOD((Q274+T274),32))&lt;=0.25,32,IF(MIN(MOD((Q274+T274),16),16-MOD((Q274+T274),16))&lt;=0.25,16,IF(MIN(MOD((Q274+T274),8),8-MOD((Q274+T274),8))&lt;=0.25,8,""))))</f>
        <v/>
      </c>
    </row>
    <row r="275" customFormat="false" ht="1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9" t="str">
        <f aca="false">IF(A275="","",IFERROR(INDEX(Tracks!$E$2:$E$41,MATCH(A275,Tracks!$A$2:$A$41,0)),"?"))</f>
        <v/>
      </c>
      <c r="P275" s="9" t="str">
        <f aca="false">IF(A275="","",IFERROR(N(INDEX(Tracks!$F$2:$F$41,MATCH(A275,Tracks!$A$2:$A$41,0))),""))</f>
        <v/>
      </c>
      <c r="Q275" s="10" t="str">
        <f aca="false">IF(D275&lt;&gt;"",D275-1,IF(OR(A275="",C275="",N(P275)&lt;=0),"",(N(B275)*60+C275-IFERROR(N(INDEX(Tracks!$G$2:$G$41,MATCH(A275,Tracks!$A$2:$A$41,0))),0))*P275/240))</f>
        <v/>
      </c>
      <c r="R275" s="9" t="str">
        <f aca="false">IF(Q275="","",INT(Q275)+1)</f>
        <v/>
      </c>
      <c r="S275" s="10" t="str">
        <f aca="false">IF(OR(Q275="",D275&lt;&gt;""),"",MIN(4.75,ROUND((Q275-INT(Q275))*16,0)/4+1))</f>
        <v/>
      </c>
      <c r="T275" s="11" t="str">
        <f aca="false">IF(OR(E275="",N(P275)&lt;=0),"",E275*P275/240)</f>
        <v/>
      </c>
      <c r="U275" s="9" t="str">
        <f aca="false">IF(Q275="","",IF(MIN(MOD(Q275,32),32-MOD(Q275,32))&lt;=0.25,32,IF(MIN(MOD(Q275,16),16-MOD(Q275,16))&lt;=0.25,16,IF(MIN(MOD(Q275,8),8-MOD(Q275,8))&lt;=0.25,8,""))))</f>
        <v/>
      </c>
      <c r="V275" s="9" t="str">
        <f aca="false">IF(OR(Q275="",T275=""),"",IF(MIN(MOD((Q275+T275),32),32-MOD((Q275+T275),32))&lt;=0.25,32,IF(MIN(MOD((Q275+T275),16),16-MOD((Q275+T275),16))&lt;=0.25,16,IF(MIN(MOD((Q275+T275),8),8-MOD((Q275+T275),8))&lt;=0.25,8,""))))</f>
        <v/>
      </c>
    </row>
    <row r="276" customFormat="false" ht="1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9" t="str">
        <f aca="false">IF(A276="","",IFERROR(INDEX(Tracks!$E$2:$E$41,MATCH(A276,Tracks!$A$2:$A$41,0)),"?"))</f>
        <v/>
      </c>
      <c r="P276" s="9" t="str">
        <f aca="false">IF(A276="","",IFERROR(N(INDEX(Tracks!$F$2:$F$41,MATCH(A276,Tracks!$A$2:$A$41,0))),""))</f>
        <v/>
      </c>
      <c r="Q276" s="10" t="str">
        <f aca="false">IF(D276&lt;&gt;"",D276-1,IF(OR(A276="",C276="",N(P276)&lt;=0),"",(N(B276)*60+C276-IFERROR(N(INDEX(Tracks!$G$2:$G$41,MATCH(A276,Tracks!$A$2:$A$41,0))),0))*P276/240))</f>
        <v/>
      </c>
      <c r="R276" s="9" t="str">
        <f aca="false">IF(Q276="","",INT(Q276)+1)</f>
        <v/>
      </c>
      <c r="S276" s="10" t="str">
        <f aca="false">IF(OR(Q276="",D276&lt;&gt;""),"",MIN(4.75,ROUND((Q276-INT(Q276))*16,0)/4+1))</f>
        <v/>
      </c>
      <c r="T276" s="11" t="str">
        <f aca="false">IF(OR(E276="",N(P276)&lt;=0),"",E276*P276/240)</f>
        <v/>
      </c>
      <c r="U276" s="9" t="str">
        <f aca="false">IF(Q276="","",IF(MIN(MOD(Q276,32),32-MOD(Q276,32))&lt;=0.25,32,IF(MIN(MOD(Q276,16),16-MOD(Q276,16))&lt;=0.25,16,IF(MIN(MOD(Q276,8),8-MOD(Q276,8))&lt;=0.25,8,""))))</f>
        <v/>
      </c>
      <c r="V276" s="9" t="str">
        <f aca="false">IF(OR(Q276="",T276=""),"",IF(MIN(MOD((Q276+T276),32),32-MOD((Q276+T276),32))&lt;=0.25,32,IF(MIN(MOD((Q276+T276),16),16-MOD((Q276+T276),16))&lt;=0.25,16,IF(MIN(MOD((Q276+T276),8),8-MOD((Q276+T276),8))&lt;=0.25,8,""))))</f>
        <v/>
      </c>
    </row>
    <row r="277" customFormat="false" ht="1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9" t="str">
        <f aca="false">IF(A277="","",IFERROR(INDEX(Tracks!$E$2:$E$41,MATCH(A277,Tracks!$A$2:$A$41,0)),"?"))</f>
        <v/>
      </c>
      <c r="P277" s="9" t="str">
        <f aca="false">IF(A277="","",IFERROR(N(INDEX(Tracks!$F$2:$F$41,MATCH(A277,Tracks!$A$2:$A$41,0))),""))</f>
        <v/>
      </c>
      <c r="Q277" s="10" t="str">
        <f aca="false">IF(D277&lt;&gt;"",D277-1,IF(OR(A277="",C277="",N(P277)&lt;=0),"",(N(B277)*60+C277-IFERROR(N(INDEX(Tracks!$G$2:$G$41,MATCH(A277,Tracks!$A$2:$A$41,0))),0))*P277/240))</f>
        <v/>
      </c>
      <c r="R277" s="9" t="str">
        <f aca="false">IF(Q277="","",INT(Q277)+1)</f>
        <v/>
      </c>
      <c r="S277" s="10" t="str">
        <f aca="false">IF(OR(Q277="",D277&lt;&gt;""),"",MIN(4.75,ROUND((Q277-INT(Q277))*16,0)/4+1))</f>
        <v/>
      </c>
      <c r="T277" s="11" t="str">
        <f aca="false">IF(OR(E277="",N(P277)&lt;=0),"",E277*P277/240)</f>
        <v/>
      </c>
      <c r="U277" s="9" t="str">
        <f aca="false">IF(Q277="","",IF(MIN(MOD(Q277,32),32-MOD(Q277,32))&lt;=0.25,32,IF(MIN(MOD(Q277,16),16-MOD(Q277,16))&lt;=0.25,16,IF(MIN(MOD(Q277,8),8-MOD(Q277,8))&lt;=0.25,8,""))))</f>
        <v/>
      </c>
      <c r="V277" s="9" t="str">
        <f aca="false">IF(OR(Q277="",T277=""),"",IF(MIN(MOD((Q277+T277),32),32-MOD((Q277+T277),32))&lt;=0.25,32,IF(MIN(MOD((Q277+T277),16),16-MOD((Q277+T277),16))&lt;=0.25,16,IF(MIN(MOD((Q277+T277),8),8-MOD((Q277+T277),8))&lt;=0.25,8,""))))</f>
        <v/>
      </c>
    </row>
    <row r="278" customFormat="false" ht="1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9" t="str">
        <f aca="false">IF(A278="","",IFERROR(INDEX(Tracks!$E$2:$E$41,MATCH(A278,Tracks!$A$2:$A$41,0)),"?"))</f>
        <v/>
      </c>
      <c r="P278" s="9" t="str">
        <f aca="false">IF(A278="","",IFERROR(N(INDEX(Tracks!$F$2:$F$41,MATCH(A278,Tracks!$A$2:$A$41,0))),""))</f>
        <v/>
      </c>
      <c r="Q278" s="10" t="str">
        <f aca="false">IF(D278&lt;&gt;"",D278-1,IF(OR(A278="",C278="",N(P278)&lt;=0),"",(N(B278)*60+C278-IFERROR(N(INDEX(Tracks!$G$2:$G$41,MATCH(A278,Tracks!$A$2:$A$41,0))),0))*P278/240))</f>
        <v/>
      </c>
      <c r="R278" s="9" t="str">
        <f aca="false">IF(Q278="","",INT(Q278)+1)</f>
        <v/>
      </c>
      <c r="S278" s="10" t="str">
        <f aca="false">IF(OR(Q278="",D278&lt;&gt;""),"",MIN(4.75,ROUND((Q278-INT(Q278))*16,0)/4+1))</f>
        <v/>
      </c>
      <c r="T278" s="11" t="str">
        <f aca="false">IF(OR(E278="",N(P278)&lt;=0),"",E278*P278/240)</f>
        <v/>
      </c>
      <c r="U278" s="9" t="str">
        <f aca="false">IF(Q278="","",IF(MIN(MOD(Q278,32),32-MOD(Q278,32))&lt;=0.25,32,IF(MIN(MOD(Q278,16),16-MOD(Q278,16))&lt;=0.25,16,IF(MIN(MOD(Q278,8),8-MOD(Q278,8))&lt;=0.25,8,""))))</f>
        <v/>
      </c>
      <c r="V278" s="9" t="str">
        <f aca="false">IF(OR(Q278="",T278=""),"",IF(MIN(MOD((Q278+T278),32),32-MOD((Q278+T278),32))&lt;=0.25,32,IF(MIN(MOD((Q278+T278),16),16-MOD((Q278+T278),16))&lt;=0.25,16,IF(MIN(MOD((Q278+T278),8),8-MOD((Q278+T278),8))&lt;=0.25,8,""))))</f>
        <v/>
      </c>
    </row>
    <row r="279" customFormat="false" ht="1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9" t="str">
        <f aca="false">IF(A279="","",IFERROR(INDEX(Tracks!$E$2:$E$41,MATCH(A279,Tracks!$A$2:$A$41,0)),"?"))</f>
        <v/>
      </c>
      <c r="P279" s="9" t="str">
        <f aca="false">IF(A279="","",IFERROR(N(INDEX(Tracks!$F$2:$F$41,MATCH(A279,Tracks!$A$2:$A$41,0))),""))</f>
        <v/>
      </c>
      <c r="Q279" s="10" t="str">
        <f aca="false">IF(D279&lt;&gt;"",D279-1,IF(OR(A279="",C279="",N(P279)&lt;=0),"",(N(B279)*60+C279-IFERROR(N(INDEX(Tracks!$G$2:$G$41,MATCH(A279,Tracks!$A$2:$A$41,0))),0))*P279/240))</f>
        <v/>
      </c>
      <c r="R279" s="9" t="str">
        <f aca="false">IF(Q279="","",INT(Q279)+1)</f>
        <v/>
      </c>
      <c r="S279" s="10" t="str">
        <f aca="false">IF(OR(Q279="",D279&lt;&gt;""),"",MIN(4.75,ROUND((Q279-INT(Q279))*16,0)/4+1))</f>
        <v/>
      </c>
      <c r="T279" s="11" t="str">
        <f aca="false">IF(OR(E279="",N(P279)&lt;=0),"",E279*P279/240)</f>
        <v/>
      </c>
      <c r="U279" s="9" t="str">
        <f aca="false">IF(Q279="","",IF(MIN(MOD(Q279,32),32-MOD(Q279,32))&lt;=0.25,32,IF(MIN(MOD(Q279,16),16-MOD(Q279,16))&lt;=0.25,16,IF(MIN(MOD(Q279,8),8-MOD(Q279,8))&lt;=0.25,8,""))))</f>
        <v/>
      </c>
      <c r="V279" s="9" t="str">
        <f aca="false">IF(OR(Q279="",T279=""),"",IF(MIN(MOD((Q279+T279),32),32-MOD((Q279+T279),32))&lt;=0.25,32,IF(MIN(MOD((Q279+T279),16),16-MOD((Q279+T279),16))&lt;=0.25,16,IF(MIN(MOD((Q279+T279),8),8-MOD((Q279+T279),8))&lt;=0.25,8,""))))</f>
        <v/>
      </c>
    </row>
    <row r="280" customFormat="false" ht="1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9" t="str">
        <f aca="false">IF(A280="","",IFERROR(INDEX(Tracks!$E$2:$E$41,MATCH(A280,Tracks!$A$2:$A$41,0)),"?"))</f>
        <v/>
      </c>
      <c r="P280" s="9" t="str">
        <f aca="false">IF(A280="","",IFERROR(N(INDEX(Tracks!$F$2:$F$41,MATCH(A280,Tracks!$A$2:$A$41,0))),""))</f>
        <v/>
      </c>
      <c r="Q280" s="10" t="str">
        <f aca="false">IF(D280&lt;&gt;"",D280-1,IF(OR(A280="",C280="",N(P280)&lt;=0),"",(N(B280)*60+C280-IFERROR(N(INDEX(Tracks!$G$2:$G$41,MATCH(A280,Tracks!$A$2:$A$41,0))),0))*P280/240))</f>
        <v/>
      </c>
      <c r="R280" s="9" t="str">
        <f aca="false">IF(Q280="","",INT(Q280)+1)</f>
        <v/>
      </c>
      <c r="S280" s="10" t="str">
        <f aca="false">IF(OR(Q280="",D280&lt;&gt;""),"",MIN(4.75,ROUND((Q280-INT(Q280))*16,0)/4+1))</f>
        <v/>
      </c>
      <c r="T280" s="11" t="str">
        <f aca="false">IF(OR(E280="",N(P280)&lt;=0),"",E280*P280/240)</f>
        <v/>
      </c>
      <c r="U280" s="9" t="str">
        <f aca="false">IF(Q280="","",IF(MIN(MOD(Q280,32),32-MOD(Q280,32))&lt;=0.25,32,IF(MIN(MOD(Q280,16),16-MOD(Q280,16))&lt;=0.25,16,IF(MIN(MOD(Q280,8),8-MOD(Q280,8))&lt;=0.25,8,""))))</f>
        <v/>
      </c>
      <c r="V280" s="9" t="str">
        <f aca="false">IF(OR(Q280="",T280=""),"",IF(MIN(MOD((Q280+T280),32),32-MOD((Q280+T280),32))&lt;=0.25,32,IF(MIN(MOD((Q280+T280),16),16-MOD((Q280+T280),16))&lt;=0.25,16,IF(MIN(MOD((Q280+T280),8),8-MOD((Q280+T280),8))&lt;=0.25,8,""))))</f>
        <v/>
      </c>
    </row>
    <row r="281" customFormat="false" ht="1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9" t="str">
        <f aca="false">IF(A281="","",IFERROR(INDEX(Tracks!$E$2:$E$41,MATCH(A281,Tracks!$A$2:$A$41,0)),"?"))</f>
        <v/>
      </c>
      <c r="P281" s="9" t="str">
        <f aca="false">IF(A281="","",IFERROR(N(INDEX(Tracks!$F$2:$F$41,MATCH(A281,Tracks!$A$2:$A$41,0))),""))</f>
        <v/>
      </c>
      <c r="Q281" s="10" t="str">
        <f aca="false">IF(D281&lt;&gt;"",D281-1,IF(OR(A281="",C281="",N(P281)&lt;=0),"",(N(B281)*60+C281-IFERROR(N(INDEX(Tracks!$G$2:$G$41,MATCH(A281,Tracks!$A$2:$A$41,0))),0))*P281/240))</f>
        <v/>
      </c>
      <c r="R281" s="9" t="str">
        <f aca="false">IF(Q281="","",INT(Q281)+1)</f>
        <v/>
      </c>
      <c r="S281" s="10" t="str">
        <f aca="false">IF(OR(Q281="",D281&lt;&gt;""),"",MIN(4.75,ROUND((Q281-INT(Q281))*16,0)/4+1))</f>
        <v/>
      </c>
      <c r="T281" s="11" t="str">
        <f aca="false">IF(OR(E281="",N(P281)&lt;=0),"",E281*P281/240)</f>
        <v/>
      </c>
      <c r="U281" s="9" t="str">
        <f aca="false">IF(Q281="","",IF(MIN(MOD(Q281,32),32-MOD(Q281,32))&lt;=0.25,32,IF(MIN(MOD(Q281,16),16-MOD(Q281,16))&lt;=0.25,16,IF(MIN(MOD(Q281,8),8-MOD(Q281,8))&lt;=0.25,8,""))))</f>
        <v/>
      </c>
      <c r="V281" s="9" t="str">
        <f aca="false">IF(OR(Q281="",T281=""),"",IF(MIN(MOD((Q281+T281),32),32-MOD((Q281+T281),32))&lt;=0.25,32,IF(MIN(MOD((Q281+T281),16),16-MOD((Q281+T281),16))&lt;=0.25,16,IF(MIN(MOD((Q281+T281),8),8-MOD((Q281+T281),8))&lt;=0.25,8,""))))</f>
        <v/>
      </c>
    </row>
    <row r="282" customFormat="false" ht="1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9" t="str">
        <f aca="false">IF(A282="","",IFERROR(INDEX(Tracks!$E$2:$E$41,MATCH(A282,Tracks!$A$2:$A$41,0)),"?"))</f>
        <v/>
      </c>
      <c r="P282" s="9" t="str">
        <f aca="false">IF(A282="","",IFERROR(N(INDEX(Tracks!$F$2:$F$41,MATCH(A282,Tracks!$A$2:$A$41,0))),""))</f>
        <v/>
      </c>
      <c r="Q282" s="10" t="str">
        <f aca="false">IF(D282&lt;&gt;"",D282-1,IF(OR(A282="",C282="",N(P282)&lt;=0),"",(N(B282)*60+C282-IFERROR(N(INDEX(Tracks!$G$2:$G$41,MATCH(A282,Tracks!$A$2:$A$41,0))),0))*P282/240))</f>
        <v/>
      </c>
      <c r="R282" s="9" t="str">
        <f aca="false">IF(Q282="","",INT(Q282)+1)</f>
        <v/>
      </c>
      <c r="S282" s="10" t="str">
        <f aca="false">IF(OR(Q282="",D282&lt;&gt;""),"",MIN(4.75,ROUND((Q282-INT(Q282))*16,0)/4+1))</f>
        <v/>
      </c>
      <c r="T282" s="11" t="str">
        <f aca="false">IF(OR(E282="",N(P282)&lt;=0),"",E282*P282/240)</f>
        <v/>
      </c>
      <c r="U282" s="9" t="str">
        <f aca="false">IF(Q282="","",IF(MIN(MOD(Q282,32),32-MOD(Q282,32))&lt;=0.25,32,IF(MIN(MOD(Q282,16),16-MOD(Q282,16))&lt;=0.25,16,IF(MIN(MOD(Q282,8),8-MOD(Q282,8))&lt;=0.25,8,""))))</f>
        <v/>
      </c>
      <c r="V282" s="9" t="str">
        <f aca="false">IF(OR(Q282="",T282=""),"",IF(MIN(MOD((Q282+T282),32),32-MOD((Q282+T282),32))&lt;=0.25,32,IF(MIN(MOD((Q282+T282),16),16-MOD((Q282+T282),16))&lt;=0.25,16,IF(MIN(MOD((Q282+T282),8),8-MOD((Q282+T282),8))&lt;=0.25,8,""))))</f>
        <v/>
      </c>
    </row>
    <row r="283" customFormat="false" ht="1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9" t="str">
        <f aca="false">IF(A283="","",IFERROR(INDEX(Tracks!$E$2:$E$41,MATCH(A283,Tracks!$A$2:$A$41,0)),"?"))</f>
        <v/>
      </c>
      <c r="P283" s="9" t="str">
        <f aca="false">IF(A283="","",IFERROR(N(INDEX(Tracks!$F$2:$F$41,MATCH(A283,Tracks!$A$2:$A$41,0))),""))</f>
        <v/>
      </c>
      <c r="Q283" s="10" t="str">
        <f aca="false">IF(D283&lt;&gt;"",D283-1,IF(OR(A283="",C283="",N(P283)&lt;=0),"",(N(B283)*60+C283-IFERROR(N(INDEX(Tracks!$G$2:$G$41,MATCH(A283,Tracks!$A$2:$A$41,0))),0))*P283/240))</f>
        <v/>
      </c>
      <c r="R283" s="9" t="str">
        <f aca="false">IF(Q283="","",INT(Q283)+1)</f>
        <v/>
      </c>
      <c r="S283" s="10" t="str">
        <f aca="false">IF(OR(Q283="",D283&lt;&gt;""),"",MIN(4.75,ROUND((Q283-INT(Q283))*16,0)/4+1))</f>
        <v/>
      </c>
      <c r="T283" s="11" t="str">
        <f aca="false">IF(OR(E283="",N(P283)&lt;=0),"",E283*P283/240)</f>
        <v/>
      </c>
      <c r="U283" s="9" t="str">
        <f aca="false">IF(Q283="","",IF(MIN(MOD(Q283,32),32-MOD(Q283,32))&lt;=0.25,32,IF(MIN(MOD(Q283,16),16-MOD(Q283,16))&lt;=0.25,16,IF(MIN(MOD(Q283,8),8-MOD(Q283,8))&lt;=0.25,8,""))))</f>
        <v/>
      </c>
      <c r="V283" s="9" t="str">
        <f aca="false">IF(OR(Q283="",T283=""),"",IF(MIN(MOD((Q283+T283),32),32-MOD((Q283+T283),32))&lt;=0.25,32,IF(MIN(MOD((Q283+T283),16),16-MOD((Q283+T283),16))&lt;=0.25,16,IF(MIN(MOD((Q283+T283),8),8-MOD((Q283+T283),8))&lt;=0.25,8,""))))</f>
        <v/>
      </c>
    </row>
    <row r="284" customFormat="false" ht="1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9" t="str">
        <f aca="false">IF(A284="","",IFERROR(INDEX(Tracks!$E$2:$E$41,MATCH(A284,Tracks!$A$2:$A$41,0)),"?"))</f>
        <v/>
      </c>
      <c r="P284" s="9" t="str">
        <f aca="false">IF(A284="","",IFERROR(N(INDEX(Tracks!$F$2:$F$41,MATCH(A284,Tracks!$A$2:$A$41,0))),""))</f>
        <v/>
      </c>
      <c r="Q284" s="10" t="str">
        <f aca="false">IF(D284&lt;&gt;"",D284-1,IF(OR(A284="",C284="",N(P284)&lt;=0),"",(N(B284)*60+C284-IFERROR(N(INDEX(Tracks!$G$2:$G$41,MATCH(A284,Tracks!$A$2:$A$41,0))),0))*P284/240))</f>
        <v/>
      </c>
      <c r="R284" s="9" t="str">
        <f aca="false">IF(Q284="","",INT(Q284)+1)</f>
        <v/>
      </c>
      <c r="S284" s="10" t="str">
        <f aca="false">IF(OR(Q284="",D284&lt;&gt;""),"",MIN(4.75,ROUND((Q284-INT(Q284))*16,0)/4+1))</f>
        <v/>
      </c>
      <c r="T284" s="11" t="str">
        <f aca="false">IF(OR(E284="",N(P284)&lt;=0),"",E284*P284/240)</f>
        <v/>
      </c>
      <c r="U284" s="9" t="str">
        <f aca="false">IF(Q284="","",IF(MIN(MOD(Q284,32),32-MOD(Q284,32))&lt;=0.25,32,IF(MIN(MOD(Q284,16),16-MOD(Q284,16))&lt;=0.25,16,IF(MIN(MOD(Q284,8),8-MOD(Q284,8))&lt;=0.25,8,""))))</f>
        <v/>
      </c>
      <c r="V284" s="9" t="str">
        <f aca="false">IF(OR(Q284="",T284=""),"",IF(MIN(MOD((Q284+T284),32),32-MOD((Q284+T284),32))&lt;=0.25,32,IF(MIN(MOD((Q284+T284),16),16-MOD((Q284+T284),16))&lt;=0.25,16,IF(MIN(MOD((Q284+T284),8),8-MOD((Q284+T284),8))&lt;=0.25,8,""))))</f>
        <v/>
      </c>
    </row>
    <row r="285" customFormat="false" ht="1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9" t="str">
        <f aca="false">IF(A285="","",IFERROR(INDEX(Tracks!$E$2:$E$41,MATCH(A285,Tracks!$A$2:$A$41,0)),"?"))</f>
        <v/>
      </c>
      <c r="P285" s="9" t="str">
        <f aca="false">IF(A285="","",IFERROR(N(INDEX(Tracks!$F$2:$F$41,MATCH(A285,Tracks!$A$2:$A$41,0))),""))</f>
        <v/>
      </c>
      <c r="Q285" s="10" t="str">
        <f aca="false">IF(D285&lt;&gt;"",D285-1,IF(OR(A285="",C285="",N(P285)&lt;=0),"",(N(B285)*60+C285-IFERROR(N(INDEX(Tracks!$G$2:$G$41,MATCH(A285,Tracks!$A$2:$A$41,0))),0))*P285/240))</f>
        <v/>
      </c>
      <c r="R285" s="9" t="str">
        <f aca="false">IF(Q285="","",INT(Q285)+1)</f>
        <v/>
      </c>
      <c r="S285" s="10" t="str">
        <f aca="false">IF(OR(Q285="",D285&lt;&gt;""),"",MIN(4.75,ROUND((Q285-INT(Q285))*16,0)/4+1))</f>
        <v/>
      </c>
      <c r="T285" s="11" t="str">
        <f aca="false">IF(OR(E285="",N(P285)&lt;=0),"",E285*P285/240)</f>
        <v/>
      </c>
      <c r="U285" s="9" t="str">
        <f aca="false">IF(Q285="","",IF(MIN(MOD(Q285,32),32-MOD(Q285,32))&lt;=0.25,32,IF(MIN(MOD(Q285,16),16-MOD(Q285,16))&lt;=0.25,16,IF(MIN(MOD(Q285,8),8-MOD(Q285,8))&lt;=0.25,8,""))))</f>
        <v/>
      </c>
      <c r="V285" s="9" t="str">
        <f aca="false">IF(OR(Q285="",T285=""),"",IF(MIN(MOD((Q285+T285),32),32-MOD((Q285+T285),32))&lt;=0.25,32,IF(MIN(MOD((Q285+T285),16),16-MOD((Q285+T285),16))&lt;=0.25,16,IF(MIN(MOD((Q285+T285),8),8-MOD((Q285+T285),8))&lt;=0.25,8,""))))</f>
        <v/>
      </c>
    </row>
    <row r="286" customFormat="false" ht="1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9" t="str">
        <f aca="false">IF(A286="","",IFERROR(INDEX(Tracks!$E$2:$E$41,MATCH(A286,Tracks!$A$2:$A$41,0)),"?"))</f>
        <v/>
      </c>
      <c r="P286" s="9" t="str">
        <f aca="false">IF(A286="","",IFERROR(N(INDEX(Tracks!$F$2:$F$41,MATCH(A286,Tracks!$A$2:$A$41,0))),""))</f>
        <v/>
      </c>
      <c r="Q286" s="10" t="str">
        <f aca="false">IF(D286&lt;&gt;"",D286-1,IF(OR(A286="",C286="",N(P286)&lt;=0),"",(N(B286)*60+C286-IFERROR(N(INDEX(Tracks!$G$2:$G$41,MATCH(A286,Tracks!$A$2:$A$41,0))),0))*P286/240))</f>
        <v/>
      </c>
      <c r="R286" s="9" t="str">
        <f aca="false">IF(Q286="","",INT(Q286)+1)</f>
        <v/>
      </c>
      <c r="S286" s="10" t="str">
        <f aca="false">IF(OR(Q286="",D286&lt;&gt;""),"",MIN(4.75,ROUND((Q286-INT(Q286))*16,0)/4+1))</f>
        <v/>
      </c>
      <c r="T286" s="11" t="str">
        <f aca="false">IF(OR(E286="",N(P286)&lt;=0),"",E286*P286/240)</f>
        <v/>
      </c>
      <c r="U286" s="9" t="str">
        <f aca="false">IF(Q286="","",IF(MIN(MOD(Q286,32),32-MOD(Q286,32))&lt;=0.25,32,IF(MIN(MOD(Q286,16),16-MOD(Q286,16))&lt;=0.25,16,IF(MIN(MOD(Q286,8),8-MOD(Q286,8))&lt;=0.25,8,""))))</f>
        <v/>
      </c>
      <c r="V286" s="9" t="str">
        <f aca="false">IF(OR(Q286="",T286=""),"",IF(MIN(MOD((Q286+T286),32),32-MOD((Q286+T286),32))&lt;=0.25,32,IF(MIN(MOD((Q286+T286),16),16-MOD((Q286+T286),16))&lt;=0.25,16,IF(MIN(MOD((Q286+T286),8),8-MOD((Q286+T286),8))&lt;=0.25,8,""))))</f>
        <v/>
      </c>
    </row>
    <row r="287" customFormat="false" ht="1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9" t="str">
        <f aca="false">IF(A287="","",IFERROR(INDEX(Tracks!$E$2:$E$41,MATCH(A287,Tracks!$A$2:$A$41,0)),"?"))</f>
        <v/>
      </c>
      <c r="P287" s="9" t="str">
        <f aca="false">IF(A287="","",IFERROR(N(INDEX(Tracks!$F$2:$F$41,MATCH(A287,Tracks!$A$2:$A$41,0))),""))</f>
        <v/>
      </c>
      <c r="Q287" s="10" t="str">
        <f aca="false">IF(D287&lt;&gt;"",D287-1,IF(OR(A287="",C287="",N(P287)&lt;=0),"",(N(B287)*60+C287-IFERROR(N(INDEX(Tracks!$G$2:$G$41,MATCH(A287,Tracks!$A$2:$A$41,0))),0))*P287/240))</f>
        <v/>
      </c>
      <c r="R287" s="9" t="str">
        <f aca="false">IF(Q287="","",INT(Q287)+1)</f>
        <v/>
      </c>
      <c r="S287" s="10" t="str">
        <f aca="false">IF(OR(Q287="",D287&lt;&gt;""),"",MIN(4.75,ROUND((Q287-INT(Q287))*16,0)/4+1))</f>
        <v/>
      </c>
      <c r="T287" s="11" t="str">
        <f aca="false">IF(OR(E287="",N(P287)&lt;=0),"",E287*P287/240)</f>
        <v/>
      </c>
      <c r="U287" s="9" t="str">
        <f aca="false">IF(Q287="","",IF(MIN(MOD(Q287,32),32-MOD(Q287,32))&lt;=0.25,32,IF(MIN(MOD(Q287,16),16-MOD(Q287,16))&lt;=0.25,16,IF(MIN(MOD(Q287,8),8-MOD(Q287,8))&lt;=0.25,8,""))))</f>
        <v/>
      </c>
      <c r="V287" s="9" t="str">
        <f aca="false">IF(OR(Q287="",T287=""),"",IF(MIN(MOD((Q287+T287),32),32-MOD((Q287+T287),32))&lt;=0.25,32,IF(MIN(MOD((Q287+T287),16),16-MOD((Q287+T287),16))&lt;=0.25,16,IF(MIN(MOD((Q287+T287),8),8-MOD((Q287+T287),8))&lt;=0.25,8,""))))</f>
        <v/>
      </c>
    </row>
    <row r="288" customFormat="false" ht="1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9" t="str">
        <f aca="false">IF(A288="","",IFERROR(INDEX(Tracks!$E$2:$E$41,MATCH(A288,Tracks!$A$2:$A$41,0)),"?"))</f>
        <v/>
      </c>
      <c r="P288" s="9" t="str">
        <f aca="false">IF(A288="","",IFERROR(N(INDEX(Tracks!$F$2:$F$41,MATCH(A288,Tracks!$A$2:$A$41,0))),""))</f>
        <v/>
      </c>
      <c r="Q288" s="10" t="str">
        <f aca="false">IF(D288&lt;&gt;"",D288-1,IF(OR(A288="",C288="",N(P288)&lt;=0),"",(N(B288)*60+C288-IFERROR(N(INDEX(Tracks!$G$2:$G$41,MATCH(A288,Tracks!$A$2:$A$41,0))),0))*P288/240))</f>
        <v/>
      </c>
      <c r="R288" s="9" t="str">
        <f aca="false">IF(Q288="","",INT(Q288)+1)</f>
        <v/>
      </c>
      <c r="S288" s="10" t="str">
        <f aca="false">IF(OR(Q288="",D288&lt;&gt;""),"",MIN(4.75,ROUND((Q288-INT(Q288))*16,0)/4+1))</f>
        <v/>
      </c>
      <c r="T288" s="11" t="str">
        <f aca="false">IF(OR(E288="",N(P288)&lt;=0),"",E288*P288/240)</f>
        <v/>
      </c>
      <c r="U288" s="9" t="str">
        <f aca="false">IF(Q288="","",IF(MIN(MOD(Q288,32),32-MOD(Q288,32))&lt;=0.25,32,IF(MIN(MOD(Q288,16),16-MOD(Q288,16))&lt;=0.25,16,IF(MIN(MOD(Q288,8),8-MOD(Q288,8))&lt;=0.25,8,""))))</f>
        <v/>
      </c>
      <c r="V288" s="9" t="str">
        <f aca="false">IF(OR(Q288="",T288=""),"",IF(MIN(MOD((Q288+T288),32),32-MOD((Q288+T288),32))&lt;=0.25,32,IF(MIN(MOD((Q288+T288),16),16-MOD((Q288+T288),16))&lt;=0.25,16,IF(MIN(MOD((Q288+T288),8),8-MOD((Q288+T288),8))&lt;=0.25,8,""))))</f>
        <v/>
      </c>
    </row>
    <row r="289" customFormat="false" ht="1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9" t="str">
        <f aca="false">IF(A289="","",IFERROR(INDEX(Tracks!$E$2:$E$41,MATCH(A289,Tracks!$A$2:$A$41,0)),"?"))</f>
        <v/>
      </c>
      <c r="P289" s="9" t="str">
        <f aca="false">IF(A289="","",IFERROR(N(INDEX(Tracks!$F$2:$F$41,MATCH(A289,Tracks!$A$2:$A$41,0))),""))</f>
        <v/>
      </c>
      <c r="Q289" s="10" t="str">
        <f aca="false">IF(D289&lt;&gt;"",D289-1,IF(OR(A289="",C289="",N(P289)&lt;=0),"",(N(B289)*60+C289-IFERROR(N(INDEX(Tracks!$G$2:$G$41,MATCH(A289,Tracks!$A$2:$A$41,0))),0))*P289/240))</f>
        <v/>
      </c>
      <c r="R289" s="9" t="str">
        <f aca="false">IF(Q289="","",INT(Q289)+1)</f>
        <v/>
      </c>
      <c r="S289" s="10" t="str">
        <f aca="false">IF(OR(Q289="",D289&lt;&gt;""),"",MIN(4.75,ROUND((Q289-INT(Q289))*16,0)/4+1))</f>
        <v/>
      </c>
      <c r="T289" s="11" t="str">
        <f aca="false">IF(OR(E289="",N(P289)&lt;=0),"",E289*P289/240)</f>
        <v/>
      </c>
      <c r="U289" s="9" t="str">
        <f aca="false">IF(Q289="","",IF(MIN(MOD(Q289,32),32-MOD(Q289,32))&lt;=0.25,32,IF(MIN(MOD(Q289,16),16-MOD(Q289,16))&lt;=0.25,16,IF(MIN(MOD(Q289,8),8-MOD(Q289,8))&lt;=0.25,8,""))))</f>
        <v/>
      </c>
      <c r="V289" s="9" t="str">
        <f aca="false">IF(OR(Q289="",T289=""),"",IF(MIN(MOD((Q289+T289),32),32-MOD((Q289+T289),32))&lt;=0.25,32,IF(MIN(MOD((Q289+T289),16),16-MOD((Q289+T289),16))&lt;=0.25,16,IF(MIN(MOD((Q289+T289),8),8-MOD((Q289+T289),8))&lt;=0.25,8,""))))</f>
        <v/>
      </c>
    </row>
    <row r="290" customFormat="false" ht="1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9" t="str">
        <f aca="false">IF(A290="","",IFERROR(INDEX(Tracks!$E$2:$E$41,MATCH(A290,Tracks!$A$2:$A$41,0)),"?"))</f>
        <v/>
      </c>
      <c r="P290" s="9" t="str">
        <f aca="false">IF(A290="","",IFERROR(N(INDEX(Tracks!$F$2:$F$41,MATCH(A290,Tracks!$A$2:$A$41,0))),""))</f>
        <v/>
      </c>
      <c r="Q290" s="10" t="str">
        <f aca="false">IF(D290&lt;&gt;"",D290-1,IF(OR(A290="",C290="",N(P290)&lt;=0),"",(N(B290)*60+C290-IFERROR(N(INDEX(Tracks!$G$2:$G$41,MATCH(A290,Tracks!$A$2:$A$41,0))),0))*P290/240))</f>
        <v/>
      </c>
      <c r="R290" s="9" t="str">
        <f aca="false">IF(Q290="","",INT(Q290)+1)</f>
        <v/>
      </c>
      <c r="S290" s="10" t="str">
        <f aca="false">IF(OR(Q290="",D290&lt;&gt;""),"",MIN(4.75,ROUND((Q290-INT(Q290))*16,0)/4+1))</f>
        <v/>
      </c>
      <c r="T290" s="11" t="str">
        <f aca="false">IF(OR(E290="",N(P290)&lt;=0),"",E290*P290/240)</f>
        <v/>
      </c>
      <c r="U290" s="9" t="str">
        <f aca="false">IF(Q290="","",IF(MIN(MOD(Q290,32),32-MOD(Q290,32))&lt;=0.25,32,IF(MIN(MOD(Q290,16),16-MOD(Q290,16))&lt;=0.25,16,IF(MIN(MOD(Q290,8),8-MOD(Q290,8))&lt;=0.25,8,""))))</f>
        <v/>
      </c>
      <c r="V290" s="9" t="str">
        <f aca="false">IF(OR(Q290="",T290=""),"",IF(MIN(MOD((Q290+T290),32),32-MOD((Q290+T290),32))&lt;=0.25,32,IF(MIN(MOD((Q290+T290),16),16-MOD((Q290+T290),16))&lt;=0.25,16,IF(MIN(MOD((Q290+T290),8),8-MOD((Q290+T290),8))&lt;=0.25,8,""))))</f>
        <v/>
      </c>
    </row>
    <row r="291" customFormat="false" ht="1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9" t="str">
        <f aca="false">IF(A291="","",IFERROR(INDEX(Tracks!$E$2:$E$41,MATCH(A291,Tracks!$A$2:$A$41,0)),"?"))</f>
        <v/>
      </c>
      <c r="P291" s="9" t="str">
        <f aca="false">IF(A291="","",IFERROR(N(INDEX(Tracks!$F$2:$F$41,MATCH(A291,Tracks!$A$2:$A$41,0))),""))</f>
        <v/>
      </c>
      <c r="Q291" s="10" t="str">
        <f aca="false">IF(D291&lt;&gt;"",D291-1,IF(OR(A291="",C291="",N(P291)&lt;=0),"",(N(B291)*60+C291-IFERROR(N(INDEX(Tracks!$G$2:$G$41,MATCH(A291,Tracks!$A$2:$A$41,0))),0))*P291/240))</f>
        <v/>
      </c>
      <c r="R291" s="9" t="str">
        <f aca="false">IF(Q291="","",INT(Q291)+1)</f>
        <v/>
      </c>
      <c r="S291" s="10" t="str">
        <f aca="false">IF(OR(Q291="",D291&lt;&gt;""),"",MIN(4.75,ROUND((Q291-INT(Q291))*16,0)/4+1))</f>
        <v/>
      </c>
      <c r="T291" s="11" t="str">
        <f aca="false">IF(OR(E291="",N(P291)&lt;=0),"",E291*P291/240)</f>
        <v/>
      </c>
      <c r="U291" s="9" t="str">
        <f aca="false">IF(Q291="","",IF(MIN(MOD(Q291,32),32-MOD(Q291,32))&lt;=0.25,32,IF(MIN(MOD(Q291,16),16-MOD(Q291,16))&lt;=0.25,16,IF(MIN(MOD(Q291,8),8-MOD(Q291,8))&lt;=0.25,8,""))))</f>
        <v/>
      </c>
      <c r="V291" s="9" t="str">
        <f aca="false">IF(OR(Q291="",T291=""),"",IF(MIN(MOD((Q291+T291),32),32-MOD((Q291+T291),32))&lt;=0.25,32,IF(MIN(MOD((Q291+T291),16),16-MOD((Q291+T291),16))&lt;=0.25,16,IF(MIN(MOD((Q291+T291),8),8-MOD((Q291+T291),8))&lt;=0.25,8,""))))</f>
        <v/>
      </c>
    </row>
    <row r="292" customFormat="false" ht="1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9" t="str">
        <f aca="false">IF(A292="","",IFERROR(INDEX(Tracks!$E$2:$E$41,MATCH(A292,Tracks!$A$2:$A$41,0)),"?"))</f>
        <v/>
      </c>
      <c r="P292" s="9" t="str">
        <f aca="false">IF(A292="","",IFERROR(N(INDEX(Tracks!$F$2:$F$41,MATCH(A292,Tracks!$A$2:$A$41,0))),""))</f>
        <v/>
      </c>
      <c r="Q292" s="10" t="str">
        <f aca="false">IF(D292&lt;&gt;"",D292-1,IF(OR(A292="",C292="",N(P292)&lt;=0),"",(N(B292)*60+C292-IFERROR(N(INDEX(Tracks!$G$2:$G$41,MATCH(A292,Tracks!$A$2:$A$41,0))),0))*P292/240))</f>
        <v/>
      </c>
      <c r="R292" s="9" t="str">
        <f aca="false">IF(Q292="","",INT(Q292)+1)</f>
        <v/>
      </c>
      <c r="S292" s="10" t="str">
        <f aca="false">IF(OR(Q292="",D292&lt;&gt;""),"",MIN(4.75,ROUND((Q292-INT(Q292))*16,0)/4+1))</f>
        <v/>
      </c>
      <c r="T292" s="11" t="str">
        <f aca="false">IF(OR(E292="",N(P292)&lt;=0),"",E292*P292/240)</f>
        <v/>
      </c>
      <c r="U292" s="9" t="str">
        <f aca="false">IF(Q292="","",IF(MIN(MOD(Q292,32),32-MOD(Q292,32))&lt;=0.25,32,IF(MIN(MOD(Q292,16),16-MOD(Q292,16))&lt;=0.25,16,IF(MIN(MOD(Q292,8),8-MOD(Q292,8))&lt;=0.25,8,""))))</f>
        <v/>
      </c>
      <c r="V292" s="9" t="str">
        <f aca="false">IF(OR(Q292="",T292=""),"",IF(MIN(MOD((Q292+T292),32),32-MOD((Q292+T292),32))&lt;=0.25,32,IF(MIN(MOD((Q292+T292),16),16-MOD((Q292+T292),16))&lt;=0.25,16,IF(MIN(MOD((Q292+T292),8),8-MOD((Q292+T292),8))&lt;=0.25,8,""))))</f>
        <v/>
      </c>
    </row>
    <row r="293" customFormat="false" ht="1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9" t="str">
        <f aca="false">IF(A293="","",IFERROR(INDEX(Tracks!$E$2:$E$41,MATCH(A293,Tracks!$A$2:$A$41,0)),"?"))</f>
        <v/>
      </c>
      <c r="P293" s="9" t="str">
        <f aca="false">IF(A293="","",IFERROR(N(INDEX(Tracks!$F$2:$F$41,MATCH(A293,Tracks!$A$2:$A$41,0))),""))</f>
        <v/>
      </c>
      <c r="Q293" s="10" t="str">
        <f aca="false">IF(D293&lt;&gt;"",D293-1,IF(OR(A293="",C293="",N(P293)&lt;=0),"",(N(B293)*60+C293-IFERROR(N(INDEX(Tracks!$G$2:$G$41,MATCH(A293,Tracks!$A$2:$A$41,0))),0))*P293/240))</f>
        <v/>
      </c>
      <c r="R293" s="9" t="str">
        <f aca="false">IF(Q293="","",INT(Q293)+1)</f>
        <v/>
      </c>
      <c r="S293" s="10" t="str">
        <f aca="false">IF(OR(Q293="",D293&lt;&gt;""),"",MIN(4.75,ROUND((Q293-INT(Q293))*16,0)/4+1))</f>
        <v/>
      </c>
      <c r="T293" s="11" t="str">
        <f aca="false">IF(OR(E293="",N(P293)&lt;=0),"",E293*P293/240)</f>
        <v/>
      </c>
      <c r="U293" s="9" t="str">
        <f aca="false">IF(Q293="","",IF(MIN(MOD(Q293,32),32-MOD(Q293,32))&lt;=0.25,32,IF(MIN(MOD(Q293,16),16-MOD(Q293,16))&lt;=0.25,16,IF(MIN(MOD(Q293,8),8-MOD(Q293,8))&lt;=0.25,8,""))))</f>
        <v/>
      </c>
      <c r="V293" s="9" t="str">
        <f aca="false">IF(OR(Q293="",T293=""),"",IF(MIN(MOD((Q293+T293),32),32-MOD((Q293+T293),32))&lt;=0.25,32,IF(MIN(MOD((Q293+T293),16),16-MOD((Q293+T293),16))&lt;=0.25,16,IF(MIN(MOD((Q293+T293),8),8-MOD((Q293+T293),8))&lt;=0.25,8,""))))</f>
        <v/>
      </c>
    </row>
    <row r="294" customFormat="false" ht="1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9" t="str">
        <f aca="false">IF(A294="","",IFERROR(INDEX(Tracks!$E$2:$E$41,MATCH(A294,Tracks!$A$2:$A$41,0)),"?"))</f>
        <v/>
      </c>
      <c r="P294" s="9" t="str">
        <f aca="false">IF(A294="","",IFERROR(N(INDEX(Tracks!$F$2:$F$41,MATCH(A294,Tracks!$A$2:$A$41,0))),""))</f>
        <v/>
      </c>
      <c r="Q294" s="10" t="str">
        <f aca="false">IF(D294&lt;&gt;"",D294-1,IF(OR(A294="",C294="",N(P294)&lt;=0),"",(N(B294)*60+C294-IFERROR(N(INDEX(Tracks!$G$2:$G$41,MATCH(A294,Tracks!$A$2:$A$41,0))),0))*P294/240))</f>
        <v/>
      </c>
      <c r="R294" s="9" t="str">
        <f aca="false">IF(Q294="","",INT(Q294)+1)</f>
        <v/>
      </c>
      <c r="S294" s="10" t="str">
        <f aca="false">IF(OR(Q294="",D294&lt;&gt;""),"",MIN(4.75,ROUND((Q294-INT(Q294))*16,0)/4+1))</f>
        <v/>
      </c>
      <c r="T294" s="11" t="str">
        <f aca="false">IF(OR(E294="",N(P294)&lt;=0),"",E294*P294/240)</f>
        <v/>
      </c>
      <c r="U294" s="9" t="str">
        <f aca="false">IF(Q294="","",IF(MIN(MOD(Q294,32),32-MOD(Q294,32))&lt;=0.25,32,IF(MIN(MOD(Q294,16),16-MOD(Q294,16))&lt;=0.25,16,IF(MIN(MOD(Q294,8),8-MOD(Q294,8))&lt;=0.25,8,""))))</f>
        <v/>
      </c>
      <c r="V294" s="9" t="str">
        <f aca="false">IF(OR(Q294="",T294=""),"",IF(MIN(MOD((Q294+T294),32),32-MOD((Q294+T294),32))&lt;=0.25,32,IF(MIN(MOD((Q294+T294),16),16-MOD((Q294+T294),16))&lt;=0.25,16,IF(MIN(MOD((Q294+T294),8),8-MOD((Q294+T294),8))&lt;=0.25,8,""))))</f>
        <v/>
      </c>
    </row>
    <row r="295" customFormat="false" ht="1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9" t="str">
        <f aca="false">IF(A295="","",IFERROR(INDEX(Tracks!$E$2:$E$41,MATCH(A295,Tracks!$A$2:$A$41,0)),"?"))</f>
        <v/>
      </c>
      <c r="P295" s="9" t="str">
        <f aca="false">IF(A295="","",IFERROR(N(INDEX(Tracks!$F$2:$F$41,MATCH(A295,Tracks!$A$2:$A$41,0))),""))</f>
        <v/>
      </c>
      <c r="Q295" s="10" t="str">
        <f aca="false">IF(D295&lt;&gt;"",D295-1,IF(OR(A295="",C295="",N(P295)&lt;=0),"",(N(B295)*60+C295-IFERROR(N(INDEX(Tracks!$G$2:$G$41,MATCH(A295,Tracks!$A$2:$A$41,0))),0))*P295/240))</f>
        <v/>
      </c>
      <c r="R295" s="9" t="str">
        <f aca="false">IF(Q295="","",INT(Q295)+1)</f>
        <v/>
      </c>
      <c r="S295" s="10" t="str">
        <f aca="false">IF(OR(Q295="",D295&lt;&gt;""),"",MIN(4.75,ROUND((Q295-INT(Q295))*16,0)/4+1))</f>
        <v/>
      </c>
      <c r="T295" s="11" t="str">
        <f aca="false">IF(OR(E295="",N(P295)&lt;=0),"",E295*P295/240)</f>
        <v/>
      </c>
      <c r="U295" s="9" t="str">
        <f aca="false">IF(Q295="","",IF(MIN(MOD(Q295,32),32-MOD(Q295,32))&lt;=0.25,32,IF(MIN(MOD(Q295,16),16-MOD(Q295,16))&lt;=0.25,16,IF(MIN(MOD(Q295,8),8-MOD(Q295,8))&lt;=0.25,8,""))))</f>
        <v/>
      </c>
      <c r="V295" s="9" t="str">
        <f aca="false">IF(OR(Q295="",T295=""),"",IF(MIN(MOD((Q295+T295),32),32-MOD((Q295+T295),32))&lt;=0.25,32,IF(MIN(MOD((Q295+T295),16),16-MOD((Q295+T295),16))&lt;=0.25,16,IF(MIN(MOD((Q295+T295),8),8-MOD((Q295+T295),8))&lt;=0.25,8,""))))</f>
        <v/>
      </c>
    </row>
    <row r="296" customFormat="false" ht="1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9" t="str">
        <f aca="false">IF(A296="","",IFERROR(INDEX(Tracks!$E$2:$E$41,MATCH(A296,Tracks!$A$2:$A$41,0)),"?"))</f>
        <v/>
      </c>
      <c r="P296" s="9" t="str">
        <f aca="false">IF(A296="","",IFERROR(N(INDEX(Tracks!$F$2:$F$41,MATCH(A296,Tracks!$A$2:$A$41,0))),""))</f>
        <v/>
      </c>
      <c r="Q296" s="10" t="str">
        <f aca="false">IF(D296&lt;&gt;"",D296-1,IF(OR(A296="",C296="",N(P296)&lt;=0),"",(N(B296)*60+C296-IFERROR(N(INDEX(Tracks!$G$2:$G$41,MATCH(A296,Tracks!$A$2:$A$41,0))),0))*P296/240))</f>
        <v/>
      </c>
      <c r="R296" s="9" t="str">
        <f aca="false">IF(Q296="","",INT(Q296)+1)</f>
        <v/>
      </c>
      <c r="S296" s="10" t="str">
        <f aca="false">IF(OR(Q296="",D296&lt;&gt;""),"",MIN(4.75,ROUND((Q296-INT(Q296))*16,0)/4+1))</f>
        <v/>
      </c>
      <c r="T296" s="11" t="str">
        <f aca="false">IF(OR(E296="",N(P296)&lt;=0),"",E296*P296/240)</f>
        <v/>
      </c>
      <c r="U296" s="9" t="str">
        <f aca="false">IF(Q296="","",IF(MIN(MOD(Q296,32),32-MOD(Q296,32))&lt;=0.25,32,IF(MIN(MOD(Q296,16),16-MOD(Q296,16))&lt;=0.25,16,IF(MIN(MOD(Q296,8),8-MOD(Q296,8))&lt;=0.25,8,""))))</f>
        <v/>
      </c>
      <c r="V296" s="9" t="str">
        <f aca="false">IF(OR(Q296="",T296=""),"",IF(MIN(MOD((Q296+T296),32),32-MOD((Q296+T296),32))&lt;=0.25,32,IF(MIN(MOD((Q296+T296),16),16-MOD((Q296+T296),16))&lt;=0.25,16,IF(MIN(MOD((Q296+T296),8),8-MOD((Q296+T296),8))&lt;=0.25,8,""))))</f>
        <v/>
      </c>
    </row>
    <row r="297" customFormat="false" ht="1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9" t="str">
        <f aca="false">IF(A297="","",IFERROR(INDEX(Tracks!$E$2:$E$41,MATCH(A297,Tracks!$A$2:$A$41,0)),"?"))</f>
        <v/>
      </c>
      <c r="P297" s="9" t="str">
        <f aca="false">IF(A297="","",IFERROR(N(INDEX(Tracks!$F$2:$F$41,MATCH(A297,Tracks!$A$2:$A$41,0))),""))</f>
        <v/>
      </c>
      <c r="Q297" s="10" t="str">
        <f aca="false">IF(D297&lt;&gt;"",D297-1,IF(OR(A297="",C297="",N(P297)&lt;=0),"",(N(B297)*60+C297-IFERROR(N(INDEX(Tracks!$G$2:$G$41,MATCH(A297,Tracks!$A$2:$A$41,0))),0))*P297/240))</f>
        <v/>
      </c>
      <c r="R297" s="9" t="str">
        <f aca="false">IF(Q297="","",INT(Q297)+1)</f>
        <v/>
      </c>
      <c r="S297" s="10" t="str">
        <f aca="false">IF(OR(Q297="",D297&lt;&gt;""),"",MIN(4.75,ROUND((Q297-INT(Q297))*16,0)/4+1))</f>
        <v/>
      </c>
      <c r="T297" s="11" t="str">
        <f aca="false">IF(OR(E297="",N(P297)&lt;=0),"",E297*P297/240)</f>
        <v/>
      </c>
      <c r="U297" s="9" t="str">
        <f aca="false">IF(Q297="","",IF(MIN(MOD(Q297,32),32-MOD(Q297,32))&lt;=0.25,32,IF(MIN(MOD(Q297,16),16-MOD(Q297,16))&lt;=0.25,16,IF(MIN(MOD(Q297,8),8-MOD(Q297,8))&lt;=0.25,8,""))))</f>
        <v/>
      </c>
      <c r="V297" s="9" t="str">
        <f aca="false">IF(OR(Q297="",T297=""),"",IF(MIN(MOD((Q297+T297),32),32-MOD((Q297+T297),32))&lt;=0.25,32,IF(MIN(MOD((Q297+T297),16),16-MOD((Q297+T297),16))&lt;=0.25,16,IF(MIN(MOD((Q297+T297),8),8-MOD((Q297+T297),8))&lt;=0.25,8,""))))</f>
        <v/>
      </c>
    </row>
    <row r="298" customFormat="false" ht="1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9" t="str">
        <f aca="false">IF(A298="","",IFERROR(INDEX(Tracks!$E$2:$E$41,MATCH(A298,Tracks!$A$2:$A$41,0)),"?"))</f>
        <v/>
      </c>
      <c r="P298" s="9" t="str">
        <f aca="false">IF(A298="","",IFERROR(N(INDEX(Tracks!$F$2:$F$41,MATCH(A298,Tracks!$A$2:$A$41,0))),""))</f>
        <v/>
      </c>
      <c r="Q298" s="10" t="str">
        <f aca="false">IF(D298&lt;&gt;"",D298-1,IF(OR(A298="",C298="",N(P298)&lt;=0),"",(N(B298)*60+C298-IFERROR(N(INDEX(Tracks!$G$2:$G$41,MATCH(A298,Tracks!$A$2:$A$41,0))),0))*P298/240))</f>
        <v/>
      </c>
      <c r="R298" s="9" t="str">
        <f aca="false">IF(Q298="","",INT(Q298)+1)</f>
        <v/>
      </c>
      <c r="S298" s="10" t="str">
        <f aca="false">IF(OR(Q298="",D298&lt;&gt;""),"",MIN(4.75,ROUND((Q298-INT(Q298))*16,0)/4+1))</f>
        <v/>
      </c>
      <c r="T298" s="11" t="str">
        <f aca="false">IF(OR(E298="",N(P298)&lt;=0),"",E298*P298/240)</f>
        <v/>
      </c>
      <c r="U298" s="9" t="str">
        <f aca="false">IF(Q298="","",IF(MIN(MOD(Q298,32),32-MOD(Q298,32))&lt;=0.25,32,IF(MIN(MOD(Q298,16),16-MOD(Q298,16))&lt;=0.25,16,IF(MIN(MOD(Q298,8),8-MOD(Q298,8))&lt;=0.25,8,""))))</f>
        <v/>
      </c>
      <c r="V298" s="9" t="str">
        <f aca="false">IF(OR(Q298="",T298=""),"",IF(MIN(MOD((Q298+T298),32),32-MOD((Q298+T298),32))&lt;=0.25,32,IF(MIN(MOD((Q298+T298),16),16-MOD((Q298+T298),16))&lt;=0.25,16,IF(MIN(MOD((Q298+T298),8),8-MOD((Q298+T298),8))&lt;=0.25,8,""))))</f>
        <v/>
      </c>
    </row>
    <row r="299" customFormat="false" ht="1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9" t="str">
        <f aca="false">IF(A299="","",IFERROR(INDEX(Tracks!$E$2:$E$41,MATCH(A299,Tracks!$A$2:$A$41,0)),"?"))</f>
        <v/>
      </c>
      <c r="P299" s="9" t="str">
        <f aca="false">IF(A299="","",IFERROR(N(INDEX(Tracks!$F$2:$F$41,MATCH(A299,Tracks!$A$2:$A$41,0))),""))</f>
        <v/>
      </c>
      <c r="Q299" s="10" t="str">
        <f aca="false">IF(D299&lt;&gt;"",D299-1,IF(OR(A299="",C299="",N(P299)&lt;=0),"",(N(B299)*60+C299-IFERROR(N(INDEX(Tracks!$G$2:$G$41,MATCH(A299,Tracks!$A$2:$A$41,0))),0))*P299/240))</f>
        <v/>
      </c>
      <c r="R299" s="9" t="str">
        <f aca="false">IF(Q299="","",INT(Q299)+1)</f>
        <v/>
      </c>
      <c r="S299" s="10" t="str">
        <f aca="false">IF(OR(Q299="",D299&lt;&gt;""),"",MIN(4.75,ROUND((Q299-INT(Q299))*16,0)/4+1))</f>
        <v/>
      </c>
      <c r="T299" s="11" t="str">
        <f aca="false">IF(OR(E299="",N(P299)&lt;=0),"",E299*P299/240)</f>
        <v/>
      </c>
      <c r="U299" s="9" t="str">
        <f aca="false">IF(Q299="","",IF(MIN(MOD(Q299,32),32-MOD(Q299,32))&lt;=0.25,32,IF(MIN(MOD(Q299,16),16-MOD(Q299,16))&lt;=0.25,16,IF(MIN(MOD(Q299,8),8-MOD(Q299,8))&lt;=0.25,8,""))))</f>
        <v/>
      </c>
      <c r="V299" s="9" t="str">
        <f aca="false">IF(OR(Q299="",T299=""),"",IF(MIN(MOD((Q299+T299),32),32-MOD((Q299+T299),32))&lt;=0.25,32,IF(MIN(MOD((Q299+T299),16),16-MOD((Q299+T299),16))&lt;=0.25,16,IF(MIN(MOD((Q299+T299),8),8-MOD((Q299+T299),8))&lt;=0.25,8,""))))</f>
        <v/>
      </c>
    </row>
    <row r="300" customFormat="false" ht="15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9" t="str">
        <f aca="false">IF(A300="","",IFERROR(INDEX(Tracks!$E$2:$E$41,MATCH(A300,Tracks!$A$2:$A$41,0)),"?"))</f>
        <v/>
      </c>
      <c r="P300" s="9" t="str">
        <f aca="false">IF(A300="","",IFERROR(N(INDEX(Tracks!$F$2:$F$41,MATCH(A300,Tracks!$A$2:$A$41,0))),""))</f>
        <v/>
      </c>
      <c r="Q300" s="10" t="str">
        <f aca="false">IF(D300&lt;&gt;"",D300-1,IF(OR(A300="",C300="",N(P300)&lt;=0),"",(N(B300)*60+C300-IFERROR(N(INDEX(Tracks!$G$2:$G$41,MATCH(A300,Tracks!$A$2:$A$41,0))),0))*P300/240))</f>
        <v/>
      </c>
      <c r="R300" s="9" t="str">
        <f aca="false">IF(Q300="","",INT(Q300)+1)</f>
        <v/>
      </c>
      <c r="S300" s="10" t="str">
        <f aca="false">IF(OR(Q300="",D300&lt;&gt;""),"",MIN(4.75,ROUND((Q300-INT(Q300))*16,0)/4+1))</f>
        <v/>
      </c>
      <c r="T300" s="11" t="str">
        <f aca="false">IF(OR(E300="",N(P300)&lt;=0),"",E300*P300/240)</f>
        <v/>
      </c>
      <c r="U300" s="9" t="str">
        <f aca="false">IF(Q300="","",IF(MIN(MOD(Q300,32),32-MOD(Q300,32))&lt;=0.25,32,IF(MIN(MOD(Q300,16),16-MOD(Q300,16))&lt;=0.25,16,IF(MIN(MOD(Q300,8),8-MOD(Q300,8))&lt;=0.25,8,""))))</f>
        <v/>
      </c>
      <c r="V300" s="9" t="str">
        <f aca="false">IF(OR(Q300="",T300=""),"",IF(MIN(MOD((Q300+T300),32),32-MOD((Q300+T300),32))&lt;=0.25,32,IF(MIN(MOD((Q300+T300),16),16-MOD((Q300+T300),16))&lt;=0.25,16,IF(MIN(MOD((Q300+T300),8),8-MOD((Q300+T300),8))&lt;=0.25,8,""))))</f>
        <v/>
      </c>
    </row>
    <row r="301" customFormat="false" ht="15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9" t="str">
        <f aca="false">IF(A301="","",IFERROR(INDEX(Tracks!$E$2:$E$41,MATCH(A301,Tracks!$A$2:$A$41,0)),"?"))</f>
        <v/>
      </c>
      <c r="P301" s="9" t="str">
        <f aca="false">IF(A301="","",IFERROR(N(INDEX(Tracks!$F$2:$F$41,MATCH(A301,Tracks!$A$2:$A$41,0))),""))</f>
        <v/>
      </c>
      <c r="Q301" s="10" t="str">
        <f aca="false">IF(D301&lt;&gt;"",D301-1,IF(OR(A301="",C301="",N(P301)&lt;=0),"",(N(B301)*60+C301-IFERROR(N(INDEX(Tracks!$G$2:$G$41,MATCH(A301,Tracks!$A$2:$A$41,0))),0))*P301/240))</f>
        <v/>
      </c>
      <c r="R301" s="9" t="str">
        <f aca="false">IF(Q301="","",INT(Q301)+1)</f>
        <v/>
      </c>
      <c r="S301" s="10" t="str">
        <f aca="false">IF(OR(Q301="",D301&lt;&gt;""),"",MIN(4.75,ROUND((Q301-INT(Q301))*16,0)/4+1))</f>
        <v/>
      </c>
      <c r="T301" s="11" t="str">
        <f aca="false">IF(OR(E301="",N(P301)&lt;=0),"",E301*P301/240)</f>
        <v/>
      </c>
      <c r="U301" s="9" t="str">
        <f aca="false">IF(Q301="","",IF(MIN(MOD(Q301,32),32-MOD(Q301,32))&lt;=0.25,32,IF(MIN(MOD(Q301,16),16-MOD(Q301,16))&lt;=0.25,16,IF(MIN(MOD(Q301,8),8-MOD(Q301,8))&lt;=0.25,8,""))))</f>
        <v/>
      </c>
      <c r="V301" s="9" t="str">
        <f aca="false">IF(OR(Q301="",T301=""),"",IF(MIN(MOD((Q301+T301),32),32-MOD((Q301+T301),32))&lt;=0.25,32,IF(MIN(MOD((Q301+T301),16),16-MOD((Q301+T301),16))&lt;=0.25,16,IF(MIN(MOD((Q301+T301),8),8-MOD((Q301+T301),8))&lt;=0.25,8,""))))</f>
        <v/>
      </c>
    </row>
    <row r="302" customFormat="false" ht="15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9" t="str">
        <f aca="false">IF(A302="","",IFERROR(INDEX(Tracks!$E$2:$E$41,MATCH(A302,Tracks!$A$2:$A$41,0)),"?"))</f>
        <v/>
      </c>
      <c r="P302" s="9" t="str">
        <f aca="false">IF(A302="","",IFERROR(N(INDEX(Tracks!$F$2:$F$41,MATCH(A302,Tracks!$A$2:$A$41,0))),""))</f>
        <v/>
      </c>
      <c r="Q302" s="10" t="str">
        <f aca="false">IF(D302&lt;&gt;"",D302-1,IF(OR(A302="",C302="",N(P302)&lt;=0),"",(N(B302)*60+C302-IFERROR(N(INDEX(Tracks!$G$2:$G$41,MATCH(A302,Tracks!$A$2:$A$41,0))),0))*P302/240))</f>
        <v/>
      </c>
      <c r="R302" s="9" t="str">
        <f aca="false">IF(Q302="","",INT(Q302)+1)</f>
        <v/>
      </c>
      <c r="S302" s="10" t="str">
        <f aca="false">IF(OR(Q302="",D302&lt;&gt;""),"",MIN(4.75,ROUND((Q302-INT(Q302))*16,0)/4+1))</f>
        <v/>
      </c>
      <c r="T302" s="11" t="str">
        <f aca="false">IF(OR(E302="",N(P302)&lt;=0),"",E302*P302/240)</f>
        <v/>
      </c>
      <c r="U302" s="9" t="str">
        <f aca="false">IF(Q302="","",IF(MIN(MOD(Q302,32),32-MOD(Q302,32))&lt;=0.25,32,IF(MIN(MOD(Q302,16),16-MOD(Q302,16))&lt;=0.25,16,IF(MIN(MOD(Q302,8),8-MOD(Q302,8))&lt;=0.25,8,""))))</f>
        <v/>
      </c>
      <c r="V302" s="9" t="str">
        <f aca="false">IF(OR(Q302="",T302=""),"",IF(MIN(MOD((Q302+T302),32),32-MOD((Q302+T302),32))&lt;=0.25,32,IF(MIN(MOD((Q302+T302),16),16-MOD((Q302+T302),16))&lt;=0.25,16,IF(MIN(MOD((Q302+T302),8),8-MOD((Q302+T302),8))&lt;=0.25,8,""))))</f>
        <v/>
      </c>
    </row>
    <row r="303" customFormat="false" ht="15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9" t="str">
        <f aca="false">IF(A303="","",IFERROR(INDEX(Tracks!$E$2:$E$41,MATCH(A303,Tracks!$A$2:$A$41,0)),"?"))</f>
        <v/>
      </c>
      <c r="P303" s="9" t="str">
        <f aca="false">IF(A303="","",IFERROR(N(INDEX(Tracks!$F$2:$F$41,MATCH(A303,Tracks!$A$2:$A$41,0))),""))</f>
        <v/>
      </c>
      <c r="Q303" s="10" t="str">
        <f aca="false">IF(D303&lt;&gt;"",D303-1,IF(OR(A303="",C303="",N(P303)&lt;=0),"",(N(B303)*60+C303-IFERROR(N(INDEX(Tracks!$G$2:$G$41,MATCH(A303,Tracks!$A$2:$A$41,0))),0))*P303/240))</f>
        <v/>
      </c>
      <c r="R303" s="9" t="str">
        <f aca="false">IF(Q303="","",INT(Q303)+1)</f>
        <v/>
      </c>
      <c r="S303" s="10" t="str">
        <f aca="false">IF(OR(Q303="",D303&lt;&gt;""),"",MIN(4.75,ROUND((Q303-INT(Q303))*16,0)/4+1))</f>
        <v/>
      </c>
      <c r="T303" s="11" t="str">
        <f aca="false">IF(OR(E303="",N(P303)&lt;=0),"",E303*P303/240)</f>
        <v/>
      </c>
      <c r="U303" s="9" t="str">
        <f aca="false">IF(Q303="","",IF(MIN(MOD(Q303,32),32-MOD(Q303,32))&lt;=0.25,32,IF(MIN(MOD(Q303,16),16-MOD(Q303,16))&lt;=0.25,16,IF(MIN(MOD(Q303,8),8-MOD(Q303,8))&lt;=0.25,8,""))))</f>
        <v/>
      </c>
      <c r="V303" s="9" t="str">
        <f aca="false">IF(OR(Q303="",T303=""),"",IF(MIN(MOD((Q303+T303),32),32-MOD((Q303+T303),32))&lt;=0.25,32,IF(MIN(MOD((Q303+T303),16),16-MOD((Q303+T303),16))&lt;=0.25,16,IF(MIN(MOD((Q303+T303),8),8-MOD((Q303+T303),8))&lt;=0.25,8,""))))</f>
        <v/>
      </c>
    </row>
    <row r="304" customFormat="false" ht="15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9" t="str">
        <f aca="false">IF(A304="","",IFERROR(INDEX(Tracks!$E$2:$E$41,MATCH(A304,Tracks!$A$2:$A$41,0)),"?"))</f>
        <v/>
      </c>
      <c r="P304" s="9" t="str">
        <f aca="false">IF(A304="","",IFERROR(N(INDEX(Tracks!$F$2:$F$41,MATCH(A304,Tracks!$A$2:$A$41,0))),""))</f>
        <v/>
      </c>
      <c r="Q304" s="10" t="str">
        <f aca="false">IF(D304&lt;&gt;"",D304-1,IF(OR(A304="",C304="",N(P304)&lt;=0),"",(N(B304)*60+C304-IFERROR(N(INDEX(Tracks!$G$2:$G$41,MATCH(A304,Tracks!$A$2:$A$41,0))),0))*P304/240))</f>
        <v/>
      </c>
      <c r="R304" s="9" t="str">
        <f aca="false">IF(Q304="","",INT(Q304)+1)</f>
        <v/>
      </c>
      <c r="S304" s="10" t="str">
        <f aca="false">IF(OR(Q304="",D304&lt;&gt;""),"",MIN(4.75,ROUND((Q304-INT(Q304))*16,0)/4+1))</f>
        <v/>
      </c>
      <c r="T304" s="11" t="str">
        <f aca="false">IF(OR(E304="",N(P304)&lt;=0),"",E304*P304/240)</f>
        <v/>
      </c>
      <c r="U304" s="9" t="str">
        <f aca="false">IF(Q304="","",IF(MIN(MOD(Q304,32),32-MOD(Q304,32))&lt;=0.25,32,IF(MIN(MOD(Q304,16),16-MOD(Q304,16))&lt;=0.25,16,IF(MIN(MOD(Q304,8),8-MOD(Q304,8))&lt;=0.25,8,""))))</f>
        <v/>
      </c>
      <c r="V304" s="9" t="str">
        <f aca="false">IF(OR(Q304="",T304=""),"",IF(MIN(MOD((Q304+T304),32),32-MOD((Q304+T304),32))&lt;=0.25,32,IF(MIN(MOD((Q304+T304),16),16-MOD((Q304+T304),16))&lt;=0.25,16,IF(MIN(MOD((Q304+T304),8),8-MOD((Q304+T304),8))&lt;=0.25,8,""))))</f>
        <v/>
      </c>
    </row>
    <row r="305" customFormat="false" ht="15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9" t="str">
        <f aca="false">IF(A305="","",IFERROR(INDEX(Tracks!$E$2:$E$41,MATCH(A305,Tracks!$A$2:$A$41,0)),"?"))</f>
        <v/>
      </c>
      <c r="P305" s="9" t="str">
        <f aca="false">IF(A305="","",IFERROR(N(INDEX(Tracks!$F$2:$F$41,MATCH(A305,Tracks!$A$2:$A$41,0))),""))</f>
        <v/>
      </c>
      <c r="Q305" s="10" t="str">
        <f aca="false">IF(D305&lt;&gt;"",D305-1,IF(OR(A305="",C305="",N(P305)&lt;=0),"",(N(B305)*60+C305-IFERROR(N(INDEX(Tracks!$G$2:$G$41,MATCH(A305,Tracks!$A$2:$A$41,0))),0))*P305/240))</f>
        <v/>
      </c>
      <c r="R305" s="9" t="str">
        <f aca="false">IF(Q305="","",INT(Q305)+1)</f>
        <v/>
      </c>
      <c r="S305" s="10" t="str">
        <f aca="false">IF(OR(Q305="",D305&lt;&gt;""),"",MIN(4.75,ROUND((Q305-INT(Q305))*16,0)/4+1))</f>
        <v/>
      </c>
      <c r="T305" s="11" t="str">
        <f aca="false">IF(OR(E305="",N(P305)&lt;=0),"",E305*P305/240)</f>
        <v/>
      </c>
      <c r="U305" s="9" t="str">
        <f aca="false">IF(Q305="","",IF(MIN(MOD(Q305,32),32-MOD(Q305,32))&lt;=0.25,32,IF(MIN(MOD(Q305,16),16-MOD(Q305,16))&lt;=0.25,16,IF(MIN(MOD(Q305,8),8-MOD(Q305,8))&lt;=0.25,8,""))))</f>
        <v/>
      </c>
      <c r="V305" s="9" t="str">
        <f aca="false">IF(OR(Q305="",T305=""),"",IF(MIN(MOD((Q305+T305),32),32-MOD((Q305+T305),32))&lt;=0.25,32,IF(MIN(MOD((Q305+T305),16),16-MOD((Q305+T305),16))&lt;=0.25,16,IF(MIN(MOD((Q305+T305),8),8-MOD((Q305+T305),8))&lt;=0.25,8,""))))</f>
        <v/>
      </c>
    </row>
    <row r="306" customFormat="false" ht="15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9" t="str">
        <f aca="false">IF(A306="","",IFERROR(INDEX(Tracks!$E$2:$E$41,MATCH(A306,Tracks!$A$2:$A$41,0)),"?"))</f>
        <v/>
      </c>
      <c r="P306" s="9" t="str">
        <f aca="false">IF(A306="","",IFERROR(N(INDEX(Tracks!$F$2:$F$41,MATCH(A306,Tracks!$A$2:$A$41,0))),""))</f>
        <v/>
      </c>
      <c r="Q306" s="10" t="str">
        <f aca="false">IF(D306&lt;&gt;"",D306-1,IF(OR(A306="",C306="",N(P306)&lt;=0),"",(N(B306)*60+C306-IFERROR(N(INDEX(Tracks!$G$2:$G$41,MATCH(A306,Tracks!$A$2:$A$41,0))),0))*P306/240))</f>
        <v/>
      </c>
      <c r="R306" s="9" t="str">
        <f aca="false">IF(Q306="","",INT(Q306)+1)</f>
        <v/>
      </c>
      <c r="S306" s="10" t="str">
        <f aca="false">IF(OR(Q306="",D306&lt;&gt;""),"",MIN(4.75,ROUND((Q306-INT(Q306))*16,0)/4+1))</f>
        <v/>
      </c>
      <c r="T306" s="11" t="str">
        <f aca="false">IF(OR(E306="",N(P306)&lt;=0),"",E306*P306/240)</f>
        <v/>
      </c>
      <c r="U306" s="9" t="str">
        <f aca="false">IF(Q306="","",IF(MIN(MOD(Q306,32),32-MOD(Q306,32))&lt;=0.25,32,IF(MIN(MOD(Q306,16),16-MOD(Q306,16))&lt;=0.25,16,IF(MIN(MOD(Q306,8),8-MOD(Q306,8))&lt;=0.25,8,""))))</f>
        <v/>
      </c>
      <c r="V306" s="9" t="str">
        <f aca="false">IF(OR(Q306="",T306=""),"",IF(MIN(MOD((Q306+T306),32),32-MOD((Q306+T306),32))&lt;=0.25,32,IF(MIN(MOD((Q306+T306),16),16-MOD((Q306+T306),16))&lt;=0.25,16,IF(MIN(MOD((Q306+T306),8),8-MOD((Q306+T306),8))&lt;=0.25,8,""))))</f>
        <v/>
      </c>
    </row>
    <row r="307" customFormat="false" ht="15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9" t="str">
        <f aca="false">IF(A307="","",IFERROR(INDEX(Tracks!$E$2:$E$41,MATCH(A307,Tracks!$A$2:$A$41,0)),"?"))</f>
        <v/>
      </c>
      <c r="P307" s="9" t="str">
        <f aca="false">IF(A307="","",IFERROR(N(INDEX(Tracks!$F$2:$F$41,MATCH(A307,Tracks!$A$2:$A$41,0))),""))</f>
        <v/>
      </c>
      <c r="Q307" s="10" t="str">
        <f aca="false">IF(D307&lt;&gt;"",D307-1,IF(OR(A307="",C307="",N(P307)&lt;=0),"",(N(B307)*60+C307-IFERROR(N(INDEX(Tracks!$G$2:$G$41,MATCH(A307,Tracks!$A$2:$A$41,0))),0))*P307/240))</f>
        <v/>
      </c>
      <c r="R307" s="9" t="str">
        <f aca="false">IF(Q307="","",INT(Q307)+1)</f>
        <v/>
      </c>
      <c r="S307" s="10" t="str">
        <f aca="false">IF(OR(Q307="",D307&lt;&gt;""),"",MIN(4.75,ROUND((Q307-INT(Q307))*16,0)/4+1))</f>
        <v/>
      </c>
      <c r="T307" s="11" t="str">
        <f aca="false">IF(OR(E307="",N(P307)&lt;=0),"",E307*P307/240)</f>
        <v/>
      </c>
      <c r="U307" s="9" t="str">
        <f aca="false">IF(Q307="","",IF(MIN(MOD(Q307,32),32-MOD(Q307,32))&lt;=0.25,32,IF(MIN(MOD(Q307,16),16-MOD(Q307,16))&lt;=0.25,16,IF(MIN(MOD(Q307,8),8-MOD(Q307,8))&lt;=0.25,8,""))))</f>
        <v/>
      </c>
      <c r="V307" s="9" t="str">
        <f aca="false">IF(OR(Q307="",T307=""),"",IF(MIN(MOD((Q307+T307),32),32-MOD((Q307+T307),32))&lt;=0.25,32,IF(MIN(MOD((Q307+T307),16),16-MOD((Q307+T307),16))&lt;=0.25,16,IF(MIN(MOD((Q307+T307),8),8-MOD((Q307+T307),8))&lt;=0.25,8,""))))</f>
        <v/>
      </c>
    </row>
    <row r="308" customFormat="false" ht="15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9" t="str">
        <f aca="false">IF(A308="","",IFERROR(INDEX(Tracks!$E$2:$E$41,MATCH(A308,Tracks!$A$2:$A$41,0)),"?"))</f>
        <v/>
      </c>
      <c r="P308" s="9" t="str">
        <f aca="false">IF(A308="","",IFERROR(N(INDEX(Tracks!$F$2:$F$41,MATCH(A308,Tracks!$A$2:$A$41,0))),""))</f>
        <v/>
      </c>
      <c r="Q308" s="10" t="str">
        <f aca="false">IF(D308&lt;&gt;"",D308-1,IF(OR(A308="",C308="",N(P308)&lt;=0),"",(N(B308)*60+C308-IFERROR(N(INDEX(Tracks!$G$2:$G$41,MATCH(A308,Tracks!$A$2:$A$41,0))),0))*P308/240))</f>
        <v/>
      </c>
      <c r="R308" s="9" t="str">
        <f aca="false">IF(Q308="","",INT(Q308)+1)</f>
        <v/>
      </c>
      <c r="S308" s="10" t="str">
        <f aca="false">IF(OR(Q308="",D308&lt;&gt;""),"",MIN(4.75,ROUND((Q308-INT(Q308))*16,0)/4+1))</f>
        <v/>
      </c>
      <c r="T308" s="11" t="str">
        <f aca="false">IF(OR(E308="",N(P308)&lt;=0),"",E308*P308/240)</f>
        <v/>
      </c>
      <c r="U308" s="9" t="str">
        <f aca="false">IF(Q308="","",IF(MIN(MOD(Q308,32),32-MOD(Q308,32))&lt;=0.25,32,IF(MIN(MOD(Q308,16),16-MOD(Q308,16))&lt;=0.25,16,IF(MIN(MOD(Q308,8),8-MOD(Q308,8))&lt;=0.25,8,""))))</f>
        <v/>
      </c>
      <c r="V308" s="9" t="str">
        <f aca="false">IF(OR(Q308="",T308=""),"",IF(MIN(MOD((Q308+T308),32),32-MOD((Q308+T308),32))&lt;=0.25,32,IF(MIN(MOD((Q308+T308),16),16-MOD((Q308+T308),16))&lt;=0.25,16,IF(MIN(MOD((Q308+T308),8),8-MOD((Q308+T308),8))&lt;=0.25,8,""))))</f>
        <v/>
      </c>
    </row>
    <row r="309" customFormat="false" ht="15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9" t="str">
        <f aca="false">IF(A309="","",IFERROR(INDEX(Tracks!$E$2:$E$41,MATCH(A309,Tracks!$A$2:$A$41,0)),"?"))</f>
        <v/>
      </c>
      <c r="P309" s="9" t="str">
        <f aca="false">IF(A309="","",IFERROR(N(INDEX(Tracks!$F$2:$F$41,MATCH(A309,Tracks!$A$2:$A$41,0))),""))</f>
        <v/>
      </c>
      <c r="Q309" s="10" t="str">
        <f aca="false">IF(D309&lt;&gt;"",D309-1,IF(OR(A309="",C309="",N(P309)&lt;=0),"",(N(B309)*60+C309-IFERROR(N(INDEX(Tracks!$G$2:$G$41,MATCH(A309,Tracks!$A$2:$A$41,0))),0))*P309/240))</f>
        <v/>
      </c>
      <c r="R309" s="9" t="str">
        <f aca="false">IF(Q309="","",INT(Q309)+1)</f>
        <v/>
      </c>
      <c r="S309" s="10" t="str">
        <f aca="false">IF(OR(Q309="",D309&lt;&gt;""),"",MIN(4.75,ROUND((Q309-INT(Q309))*16,0)/4+1))</f>
        <v/>
      </c>
      <c r="T309" s="11" t="str">
        <f aca="false">IF(OR(E309="",N(P309)&lt;=0),"",E309*P309/240)</f>
        <v/>
      </c>
      <c r="U309" s="9" t="str">
        <f aca="false">IF(Q309="","",IF(MIN(MOD(Q309,32),32-MOD(Q309,32))&lt;=0.25,32,IF(MIN(MOD(Q309,16),16-MOD(Q309,16))&lt;=0.25,16,IF(MIN(MOD(Q309,8),8-MOD(Q309,8))&lt;=0.25,8,""))))</f>
        <v/>
      </c>
      <c r="V309" s="9" t="str">
        <f aca="false">IF(OR(Q309="",T309=""),"",IF(MIN(MOD((Q309+T309),32),32-MOD((Q309+T309),32))&lt;=0.25,32,IF(MIN(MOD((Q309+T309),16),16-MOD((Q309+T309),16))&lt;=0.25,16,IF(MIN(MOD((Q309+T309),8),8-MOD((Q309+T309),8))&lt;=0.25,8,""))))</f>
        <v/>
      </c>
    </row>
    <row r="310" customFormat="false" ht="15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9" t="str">
        <f aca="false">IF(A310="","",IFERROR(INDEX(Tracks!$E$2:$E$41,MATCH(A310,Tracks!$A$2:$A$41,0)),"?"))</f>
        <v/>
      </c>
      <c r="P310" s="9" t="str">
        <f aca="false">IF(A310="","",IFERROR(N(INDEX(Tracks!$F$2:$F$41,MATCH(A310,Tracks!$A$2:$A$41,0))),""))</f>
        <v/>
      </c>
      <c r="Q310" s="10" t="str">
        <f aca="false">IF(D310&lt;&gt;"",D310-1,IF(OR(A310="",C310="",N(P310)&lt;=0),"",(N(B310)*60+C310-IFERROR(N(INDEX(Tracks!$G$2:$G$41,MATCH(A310,Tracks!$A$2:$A$41,0))),0))*P310/240))</f>
        <v/>
      </c>
      <c r="R310" s="9" t="str">
        <f aca="false">IF(Q310="","",INT(Q310)+1)</f>
        <v/>
      </c>
      <c r="S310" s="10" t="str">
        <f aca="false">IF(OR(Q310="",D310&lt;&gt;""),"",MIN(4.75,ROUND((Q310-INT(Q310))*16,0)/4+1))</f>
        <v/>
      </c>
      <c r="T310" s="11" t="str">
        <f aca="false">IF(OR(E310="",N(P310)&lt;=0),"",E310*P310/240)</f>
        <v/>
      </c>
      <c r="U310" s="9" t="str">
        <f aca="false">IF(Q310="","",IF(MIN(MOD(Q310,32),32-MOD(Q310,32))&lt;=0.25,32,IF(MIN(MOD(Q310,16),16-MOD(Q310,16))&lt;=0.25,16,IF(MIN(MOD(Q310,8),8-MOD(Q310,8))&lt;=0.25,8,""))))</f>
        <v/>
      </c>
      <c r="V310" s="9" t="str">
        <f aca="false">IF(OR(Q310="",T310=""),"",IF(MIN(MOD((Q310+T310),32),32-MOD((Q310+T310),32))&lt;=0.25,32,IF(MIN(MOD((Q310+T310),16),16-MOD((Q310+T310),16))&lt;=0.25,16,IF(MIN(MOD((Q310+T310),8),8-MOD((Q310+T310),8))&lt;=0.25,8,""))))</f>
        <v/>
      </c>
    </row>
    <row r="311" customFormat="false" ht="15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9" t="str">
        <f aca="false">IF(A311="","",IFERROR(INDEX(Tracks!$E$2:$E$41,MATCH(A311,Tracks!$A$2:$A$41,0)),"?"))</f>
        <v/>
      </c>
      <c r="P311" s="9" t="str">
        <f aca="false">IF(A311="","",IFERROR(N(INDEX(Tracks!$F$2:$F$41,MATCH(A311,Tracks!$A$2:$A$41,0))),""))</f>
        <v/>
      </c>
      <c r="Q311" s="10" t="str">
        <f aca="false">IF(D311&lt;&gt;"",D311-1,IF(OR(A311="",C311="",N(P311)&lt;=0),"",(N(B311)*60+C311-IFERROR(N(INDEX(Tracks!$G$2:$G$41,MATCH(A311,Tracks!$A$2:$A$41,0))),0))*P311/240))</f>
        <v/>
      </c>
      <c r="R311" s="9" t="str">
        <f aca="false">IF(Q311="","",INT(Q311)+1)</f>
        <v/>
      </c>
      <c r="S311" s="10" t="str">
        <f aca="false">IF(OR(Q311="",D311&lt;&gt;""),"",MIN(4.75,ROUND((Q311-INT(Q311))*16,0)/4+1))</f>
        <v/>
      </c>
      <c r="T311" s="11" t="str">
        <f aca="false">IF(OR(E311="",N(P311)&lt;=0),"",E311*P311/240)</f>
        <v/>
      </c>
      <c r="U311" s="9" t="str">
        <f aca="false">IF(Q311="","",IF(MIN(MOD(Q311,32),32-MOD(Q311,32))&lt;=0.25,32,IF(MIN(MOD(Q311,16),16-MOD(Q311,16))&lt;=0.25,16,IF(MIN(MOD(Q311,8),8-MOD(Q311,8))&lt;=0.25,8,""))))</f>
        <v/>
      </c>
      <c r="V311" s="9" t="str">
        <f aca="false">IF(OR(Q311="",T311=""),"",IF(MIN(MOD((Q311+T311),32),32-MOD((Q311+T311),32))&lt;=0.25,32,IF(MIN(MOD((Q311+T311),16),16-MOD((Q311+T311),16))&lt;=0.25,16,IF(MIN(MOD((Q311+T311),8),8-MOD((Q311+T311),8))&lt;=0.25,8,""))))</f>
        <v/>
      </c>
    </row>
    <row r="312" customFormat="false" ht="15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9" t="str">
        <f aca="false">IF(A312="","",IFERROR(INDEX(Tracks!$E$2:$E$41,MATCH(A312,Tracks!$A$2:$A$41,0)),"?"))</f>
        <v/>
      </c>
      <c r="P312" s="9" t="str">
        <f aca="false">IF(A312="","",IFERROR(N(INDEX(Tracks!$F$2:$F$41,MATCH(A312,Tracks!$A$2:$A$41,0))),""))</f>
        <v/>
      </c>
      <c r="Q312" s="10" t="str">
        <f aca="false">IF(D312&lt;&gt;"",D312-1,IF(OR(A312="",C312="",N(P312)&lt;=0),"",(N(B312)*60+C312-IFERROR(N(INDEX(Tracks!$G$2:$G$41,MATCH(A312,Tracks!$A$2:$A$41,0))),0))*P312/240))</f>
        <v/>
      </c>
      <c r="R312" s="9" t="str">
        <f aca="false">IF(Q312="","",INT(Q312)+1)</f>
        <v/>
      </c>
      <c r="S312" s="10" t="str">
        <f aca="false">IF(OR(Q312="",D312&lt;&gt;""),"",MIN(4.75,ROUND((Q312-INT(Q312))*16,0)/4+1))</f>
        <v/>
      </c>
      <c r="T312" s="11" t="str">
        <f aca="false">IF(OR(E312="",N(P312)&lt;=0),"",E312*P312/240)</f>
        <v/>
      </c>
      <c r="U312" s="9" t="str">
        <f aca="false">IF(Q312="","",IF(MIN(MOD(Q312,32),32-MOD(Q312,32))&lt;=0.25,32,IF(MIN(MOD(Q312,16),16-MOD(Q312,16))&lt;=0.25,16,IF(MIN(MOD(Q312,8),8-MOD(Q312,8))&lt;=0.25,8,""))))</f>
        <v/>
      </c>
      <c r="V312" s="9" t="str">
        <f aca="false">IF(OR(Q312="",T312=""),"",IF(MIN(MOD((Q312+T312),32),32-MOD((Q312+T312),32))&lt;=0.25,32,IF(MIN(MOD((Q312+T312),16),16-MOD((Q312+T312),16))&lt;=0.25,16,IF(MIN(MOD((Q312+T312),8),8-MOD((Q312+T312),8))&lt;=0.25,8,""))))</f>
        <v/>
      </c>
    </row>
    <row r="313" customFormat="false" ht="15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9" t="str">
        <f aca="false">IF(A313="","",IFERROR(INDEX(Tracks!$E$2:$E$41,MATCH(A313,Tracks!$A$2:$A$41,0)),"?"))</f>
        <v/>
      </c>
      <c r="P313" s="9" t="str">
        <f aca="false">IF(A313="","",IFERROR(N(INDEX(Tracks!$F$2:$F$41,MATCH(A313,Tracks!$A$2:$A$41,0))),""))</f>
        <v/>
      </c>
      <c r="Q313" s="10" t="str">
        <f aca="false">IF(D313&lt;&gt;"",D313-1,IF(OR(A313="",C313="",N(P313)&lt;=0),"",(N(B313)*60+C313-IFERROR(N(INDEX(Tracks!$G$2:$G$41,MATCH(A313,Tracks!$A$2:$A$41,0))),0))*P313/240))</f>
        <v/>
      </c>
      <c r="R313" s="9" t="str">
        <f aca="false">IF(Q313="","",INT(Q313)+1)</f>
        <v/>
      </c>
      <c r="S313" s="10" t="str">
        <f aca="false">IF(OR(Q313="",D313&lt;&gt;""),"",MIN(4.75,ROUND((Q313-INT(Q313))*16,0)/4+1))</f>
        <v/>
      </c>
      <c r="T313" s="11" t="str">
        <f aca="false">IF(OR(E313="",N(P313)&lt;=0),"",E313*P313/240)</f>
        <v/>
      </c>
      <c r="U313" s="9" t="str">
        <f aca="false">IF(Q313="","",IF(MIN(MOD(Q313,32),32-MOD(Q313,32))&lt;=0.25,32,IF(MIN(MOD(Q313,16),16-MOD(Q313,16))&lt;=0.25,16,IF(MIN(MOD(Q313,8),8-MOD(Q313,8))&lt;=0.25,8,""))))</f>
        <v/>
      </c>
      <c r="V313" s="9" t="str">
        <f aca="false">IF(OR(Q313="",T313=""),"",IF(MIN(MOD((Q313+T313),32),32-MOD((Q313+T313),32))&lt;=0.25,32,IF(MIN(MOD((Q313+T313),16),16-MOD((Q313+T313),16))&lt;=0.25,16,IF(MIN(MOD((Q313+T313),8),8-MOD((Q313+T313),8))&lt;=0.25,8,""))))</f>
        <v/>
      </c>
    </row>
    <row r="314" customFormat="false" ht="15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9" t="str">
        <f aca="false">IF(A314="","",IFERROR(INDEX(Tracks!$E$2:$E$41,MATCH(A314,Tracks!$A$2:$A$41,0)),"?"))</f>
        <v/>
      </c>
      <c r="P314" s="9" t="str">
        <f aca="false">IF(A314="","",IFERROR(N(INDEX(Tracks!$F$2:$F$41,MATCH(A314,Tracks!$A$2:$A$41,0))),""))</f>
        <v/>
      </c>
      <c r="Q314" s="10" t="str">
        <f aca="false">IF(D314&lt;&gt;"",D314-1,IF(OR(A314="",C314="",N(P314)&lt;=0),"",(N(B314)*60+C314-IFERROR(N(INDEX(Tracks!$G$2:$G$41,MATCH(A314,Tracks!$A$2:$A$41,0))),0))*P314/240))</f>
        <v/>
      </c>
      <c r="R314" s="9" t="str">
        <f aca="false">IF(Q314="","",INT(Q314)+1)</f>
        <v/>
      </c>
      <c r="S314" s="10" t="str">
        <f aca="false">IF(OR(Q314="",D314&lt;&gt;""),"",MIN(4.75,ROUND((Q314-INT(Q314))*16,0)/4+1))</f>
        <v/>
      </c>
      <c r="T314" s="11" t="str">
        <f aca="false">IF(OR(E314="",N(P314)&lt;=0),"",E314*P314/240)</f>
        <v/>
      </c>
      <c r="U314" s="9" t="str">
        <f aca="false">IF(Q314="","",IF(MIN(MOD(Q314,32),32-MOD(Q314,32))&lt;=0.25,32,IF(MIN(MOD(Q314,16),16-MOD(Q314,16))&lt;=0.25,16,IF(MIN(MOD(Q314,8),8-MOD(Q314,8))&lt;=0.25,8,""))))</f>
        <v/>
      </c>
      <c r="V314" s="9" t="str">
        <f aca="false">IF(OR(Q314="",T314=""),"",IF(MIN(MOD((Q314+T314),32),32-MOD((Q314+T314),32))&lt;=0.25,32,IF(MIN(MOD((Q314+T314),16),16-MOD((Q314+T314),16))&lt;=0.25,16,IF(MIN(MOD((Q314+T314),8),8-MOD((Q314+T314),8))&lt;=0.25,8,""))))</f>
        <v/>
      </c>
    </row>
    <row r="315" customFormat="false" ht="15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9" t="str">
        <f aca="false">IF(A315="","",IFERROR(INDEX(Tracks!$E$2:$E$41,MATCH(A315,Tracks!$A$2:$A$41,0)),"?"))</f>
        <v/>
      </c>
      <c r="P315" s="9" t="str">
        <f aca="false">IF(A315="","",IFERROR(N(INDEX(Tracks!$F$2:$F$41,MATCH(A315,Tracks!$A$2:$A$41,0))),""))</f>
        <v/>
      </c>
      <c r="Q315" s="10" t="str">
        <f aca="false">IF(D315&lt;&gt;"",D315-1,IF(OR(A315="",C315="",N(P315)&lt;=0),"",(N(B315)*60+C315-IFERROR(N(INDEX(Tracks!$G$2:$G$41,MATCH(A315,Tracks!$A$2:$A$41,0))),0))*P315/240))</f>
        <v/>
      </c>
      <c r="R315" s="9" t="str">
        <f aca="false">IF(Q315="","",INT(Q315)+1)</f>
        <v/>
      </c>
      <c r="S315" s="10" t="str">
        <f aca="false">IF(OR(Q315="",D315&lt;&gt;""),"",MIN(4.75,ROUND((Q315-INT(Q315))*16,0)/4+1))</f>
        <v/>
      </c>
      <c r="T315" s="11" t="str">
        <f aca="false">IF(OR(E315="",N(P315)&lt;=0),"",E315*P315/240)</f>
        <v/>
      </c>
      <c r="U315" s="9" t="str">
        <f aca="false">IF(Q315="","",IF(MIN(MOD(Q315,32),32-MOD(Q315,32))&lt;=0.25,32,IF(MIN(MOD(Q315,16),16-MOD(Q315,16))&lt;=0.25,16,IF(MIN(MOD(Q315,8),8-MOD(Q315,8))&lt;=0.25,8,""))))</f>
        <v/>
      </c>
      <c r="V315" s="9" t="str">
        <f aca="false">IF(OR(Q315="",T315=""),"",IF(MIN(MOD((Q315+T315),32),32-MOD((Q315+T315),32))&lt;=0.25,32,IF(MIN(MOD((Q315+T315),16),16-MOD((Q315+T315),16))&lt;=0.25,16,IF(MIN(MOD((Q315+T315),8),8-MOD((Q315+T315),8))&lt;=0.25,8,""))))</f>
        <v/>
      </c>
    </row>
    <row r="316" customFormat="false" ht="15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9" t="str">
        <f aca="false">IF(A316="","",IFERROR(INDEX(Tracks!$E$2:$E$41,MATCH(A316,Tracks!$A$2:$A$41,0)),"?"))</f>
        <v/>
      </c>
      <c r="P316" s="9" t="str">
        <f aca="false">IF(A316="","",IFERROR(N(INDEX(Tracks!$F$2:$F$41,MATCH(A316,Tracks!$A$2:$A$41,0))),""))</f>
        <v/>
      </c>
      <c r="Q316" s="10" t="str">
        <f aca="false">IF(D316&lt;&gt;"",D316-1,IF(OR(A316="",C316="",N(P316)&lt;=0),"",(N(B316)*60+C316-IFERROR(N(INDEX(Tracks!$G$2:$G$41,MATCH(A316,Tracks!$A$2:$A$41,0))),0))*P316/240))</f>
        <v/>
      </c>
      <c r="R316" s="9" t="str">
        <f aca="false">IF(Q316="","",INT(Q316)+1)</f>
        <v/>
      </c>
      <c r="S316" s="10" t="str">
        <f aca="false">IF(OR(Q316="",D316&lt;&gt;""),"",MIN(4.75,ROUND((Q316-INT(Q316))*16,0)/4+1))</f>
        <v/>
      </c>
      <c r="T316" s="11" t="str">
        <f aca="false">IF(OR(E316="",N(P316)&lt;=0),"",E316*P316/240)</f>
        <v/>
      </c>
      <c r="U316" s="9" t="str">
        <f aca="false">IF(Q316="","",IF(MIN(MOD(Q316,32),32-MOD(Q316,32))&lt;=0.25,32,IF(MIN(MOD(Q316,16),16-MOD(Q316,16))&lt;=0.25,16,IF(MIN(MOD(Q316,8),8-MOD(Q316,8))&lt;=0.25,8,""))))</f>
        <v/>
      </c>
      <c r="V316" s="9" t="str">
        <f aca="false">IF(OR(Q316="",T316=""),"",IF(MIN(MOD((Q316+T316),32),32-MOD((Q316+T316),32))&lt;=0.25,32,IF(MIN(MOD((Q316+T316),16),16-MOD((Q316+T316),16))&lt;=0.25,16,IF(MIN(MOD((Q316+T316),8),8-MOD((Q316+T316),8))&lt;=0.25,8,""))))</f>
        <v/>
      </c>
    </row>
    <row r="317" customFormat="false" ht="15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9" t="str">
        <f aca="false">IF(A317="","",IFERROR(INDEX(Tracks!$E$2:$E$41,MATCH(A317,Tracks!$A$2:$A$41,0)),"?"))</f>
        <v/>
      </c>
      <c r="P317" s="9" t="str">
        <f aca="false">IF(A317="","",IFERROR(N(INDEX(Tracks!$F$2:$F$41,MATCH(A317,Tracks!$A$2:$A$41,0))),""))</f>
        <v/>
      </c>
      <c r="Q317" s="10" t="str">
        <f aca="false">IF(D317&lt;&gt;"",D317-1,IF(OR(A317="",C317="",N(P317)&lt;=0),"",(N(B317)*60+C317-IFERROR(N(INDEX(Tracks!$G$2:$G$41,MATCH(A317,Tracks!$A$2:$A$41,0))),0))*P317/240))</f>
        <v/>
      </c>
      <c r="R317" s="9" t="str">
        <f aca="false">IF(Q317="","",INT(Q317)+1)</f>
        <v/>
      </c>
      <c r="S317" s="10" t="str">
        <f aca="false">IF(OR(Q317="",D317&lt;&gt;""),"",MIN(4.75,ROUND((Q317-INT(Q317))*16,0)/4+1))</f>
        <v/>
      </c>
      <c r="T317" s="11" t="str">
        <f aca="false">IF(OR(E317="",N(P317)&lt;=0),"",E317*P317/240)</f>
        <v/>
      </c>
      <c r="U317" s="9" t="str">
        <f aca="false">IF(Q317="","",IF(MIN(MOD(Q317,32),32-MOD(Q317,32))&lt;=0.25,32,IF(MIN(MOD(Q317,16),16-MOD(Q317,16))&lt;=0.25,16,IF(MIN(MOD(Q317,8),8-MOD(Q317,8))&lt;=0.25,8,""))))</f>
        <v/>
      </c>
      <c r="V317" s="9" t="str">
        <f aca="false">IF(OR(Q317="",T317=""),"",IF(MIN(MOD((Q317+T317),32),32-MOD((Q317+T317),32))&lt;=0.25,32,IF(MIN(MOD((Q317+T317),16),16-MOD((Q317+T317),16))&lt;=0.25,16,IF(MIN(MOD((Q317+T317),8),8-MOD((Q317+T317),8))&lt;=0.25,8,""))))</f>
        <v/>
      </c>
    </row>
    <row r="318" customFormat="false" ht="15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9" t="str">
        <f aca="false">IF(A318="","",IFERROR(INDEX(Tracks!$E$2:$E$41,MATCH(A318,Tracks!$A$2:$A$41,0)),"?"))</f>
        <v/>
      </c>
      <c r="P318" s="9" t="str">
        <f aca="false">IF(A318="","",IFERROR(N(INDEX(Tracks!$F$2:$F$41,MATCH(A318,Tracks!$A$2:$A$41,0))),""))</f>
        <v/>
      </c>
      <c r="Q318" s="10" t="str">
        <f aca="false">IF(D318&lt;&gt;"",D318-1,IF(OR(A318="",C318="",N(P318)&lt;=0),"",(N(B318)*60+C318-IFERROR(N(INDEX(Tracks!$G$2:$G$41,MATCH(A318,Tracks!$A$2:$A$41,0))),0))*P318/240))</f>
        <v/>
      </c>
      <c r="R318" s="9" t="str">
        <f aca="false">IF(Q318="","",INT(Q318)+1)</f>
        <v/>
      </c>
      <c r="S318" s="10" t="str">
        <f aca="false">IF(OR(Q318="",D318&lt;&gt;""),"",MIN(4.75,ROUND((Q318-INT(Q318))*16,0)/4+1))</f>
        <v/>
      </c>
      <c r="T318" s="11" t="str">
        <f aca="false">IF(OR(E318="",N(P318)&lt;=0),"",E318*P318/240)</f>
        <v/>
      </c>
      <c r="U318" s="9" t="str">
        <f aca="false">IF(Q318="","",IF(MIN(MOD(Q318,32),32-MOD(Q318,32))&lt;=0.25,32,IF(MIN(MOD(Q318,16),16-MOD(Q318,16))&lt;=0.25,16,IF(MIN(MOD(Q318,8),8-MOD(Q318,8))&lt;=0.25,8,""))))</f>
        <v/>
      </c>
      <c r="V318" s="9" t="str">
        <f aca="false">IF(OR(Q318="",T318=""),"",IF(MIN(MOD((Q318+T318),32),32-MOD((Q318+T318),32))&lt;=0.25,32,IF(MIN(MOD((Q318+T318),16),16-MOD((Q318+T318),16))&lt;=0.25,16,IF(MIN(MOD((Q318+T318),8),8-MOD((Q318+T318),8))&lt;=0.25,8,""))))</f>
        <v/>
      </c>
    </row>
    <row r="319" customFormat="false" ht="15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9" t="str">
        <f aca="false">IF(A319="","",IFERROR(INDEX(Tracks!$E$2:$E$41,MATCH(A319,Tracks!$A$2:$A$41,0)),"?"))</f>
        <v/>
      </c>
      <c r="P319" s="9" t="str">
        <f aca="false">IF(A319="","",IFERROR(N(INDEX(Tracks!$F$2:$F$41,MATCH(A319,Tracks!$A$2:$A$41,0))),""))</f>
        <v/>
      </c>
      <c r="Q319" s="10" t="str">
        <f aca="false">IF(D319&lt;&gt;"",D319-1,IF(OR(A319="",C319="",N(P319)&lt;=0),"",(N(B319)*60+C319-IFERROR(N(INDEX(Tracks!$G$2:$G$41,MATCH(A319,Tracks!$A$2:$A$41,0))),0))*P319/240))</f>
        <v/>
      </c>
      <c r="R319" s="9" t="str">
        <f aca="false">IF(Q319="","",INT(Q319)+1)</f>
        <v/>
      </c>
      <c r="S319" s="10" t="str">
        <f aca="false">IF(OR(Q319="",D319&lt;&gt;""),"",MIN(4.75,ROUND((Q319-INT(Q319))*16,0)/4+1))</f>
        <v/>
      </c>
      <c r="T319" s="11" t="str">
        <f aca="false">IF(OR(E319="",N(P319)&lt;=0),"",E319*P319/240)</f>
        <v/>
      </c>
      <c r="U319" s="9" t="str">
        <f aca="false">IF(Q319="","",IF(MIN(MOD(Q319,32),32-MOD(Q319,32))&lt;=0.25,32,IF(MIN(MOD(Q319,16),16-MOD(Q319,16))&lt;=0.25,16,IF(MIN(MOD(Q319,8),8-MOD(Q319,8))&lt;=0.25,8,""))))</f>
        <v/>
      </c>
      <c r="V319" s="9" t="str">
        <f aca="false">IF(OR(Q319="",T319=""),"",IF(MIN(MOD((Q319+T319),32),32-MOD((Q319+T319),32))&lt;=0.25,32,IF(MIN(MOD((Q319+T319),16),16-MOD((Q319+T319),16))&lt;=0.25,16,IF(MIN(MOD((Q319+T319),8),8-MOD((Q319+T319),8))&lt;=0.25,8,""))))</f>
        <v/>
      </c>
    </row>
    <row r="320" customFormat="false" ht="15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9" t="str">
        <f aca="false">IF(A320="","",IFERROR(INDEX(Tracks!$E$2:$E$41,MATCH(A320,Tracks!$A$2:$A$41,0)),"?"))</f>
        <v/>
      </c>
      <c r="P320" s="9" t="str">
        <f aca="false">IF(A320="","",IFERROR(N(INDEX(Tracks!$F$2:$F$41,MATCH(A320,Tracks!$A$2:$A$41,0))),""))</f>
        <v/>
      </c>
      <c r="Q320" s="10" t="str">
        <f aca="false">IF(D320&lt;&gt;"",D320-1,IF(OR(A320="",C320="",N(P320)&lt;=0),"",(N(B320)*60+C320-IFERROR(N(INDEX(Tracks!$G$2:$G$41,MATCH(A320,Tracks!$A$2:$A$41,0))),0))*P320/240))</f>
        <v/>
      </c>
      <c r="R320" s="9" t="str">
        <f aca="false">IF(Q320="","",INT(Q320)+1)</f>
        <v/>
      </c>
      <c r="S320" s="10" t="str">
        <f aca="false">IF(OR(Q320="",D320&lt;&gt;""),"",MIN(4.75,ROUND((Q320-INT(Q320))*16,0)/4+1))</f>
        <v/>
      </c>
      <c r="T320" s="11" t="str">
        <f aca="false">IF(OR(E320="",N(P320)&lt;=0),"",E320*P320/240)</f>
        <v/>
      </c>
      <c r="U320" s="9" t="str">
        <f aca="false">IF(Q320="","",IF(MIN(MOD(Q320,32),32-MOD(Q320,32))&lt;=0.25,32,IF(MIN(MOD(Q320,16),16-MOD(Q320,16))&lt;=0.25,16,IF(MIN(MOD(Q320,8),8-MOD(Q320,8))&lt;=0.25,8,""))))</f>
        <v/>
      </c>
      <c r="V320" s="9" t="str">
        <f aca="false">IF(OR(Q320="",T320=""),"",IF(MIN(MOD((Q320+T320),32),32-MOD((Q320+T320),32))&lt;=0.25,32,IF(MIN(MOD((Q320+T320),16),16-MOD((Q320+T320),16))&lt;=0.25,16,IF(MIN(MOD((Q320+T320),8),8-MOD((Q320+T320),8))&lt;=0.25,8,""))))</f>
        <v/>
      </c>
    </row>
    <row r="321" customFormat="false" ht="15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9" t="str">
        <f aca="false">IF(A321="","",IFERROR(INDEX(Tracks!$E$2:$E$41,MATCH(A321,Tracks!$A$2:$A$41,0)),"?"))</f>
        <v/>
      </c>
      <c r="P321" s="9" t="str">
        <f aca="false">IF(A321="","",IFERROR(N(INDEX(Tracks!$F$2:$F$41,MATCH(A321,Tracks!$A$2:$A$41,0))),""))</f>
        <v/>
      </c>
      <c r="Q321" s="10" t="str">
        <f aca="false">IF(D321&lt;&gt;"",D321-1,IF(OR(A321="",C321="",N(P321)&lt;=0),"",(N(B321)*60+C321-IFERROR(N(INDEX(Tracks!$G$2:$G$41,MATCH(A321,Tracks!$A$2:$A$41,0))),0))*P321/240))</f>
        <v/>
      </c>
      <c r="R321" s="9" t="str">
        <f aca="false">IF(Q321="","",INT(Q321)+1)</f>
        <v/>
      </c>
      <c r="S321" s="10" t="str">
        <f aca="false">IF(OR(Q321="",D321&lt;&gt;""),"",MIN(4.75,ROUND((Q321-INT(Q321))*16,0)/4+1))</f>
        <v/>
      </c>
      <c r="T321" s="11" t="str">
        <f aca="false">IF(OR(E321="",N(P321)&lt;=0),"",E321*P321/240)</f>
        <v/>
      </c>
      <c r="U321" s="9" t="str">
        <f aca="false">IF(Q321="","",IF(MIN(MOD(Q321,32),32-MOD(Q321,32))&lt;=0.25,32,IF(MIN(MOD(Q321,16),16-MOD(Q321,16))&lt;=0.25,16,IF(MIN(MOD(Q321,8),8-MOD(Q321,8))&lt;=0.25,8,""))))</f>
        <v/>
      </c>
      <c r="V321" s="9" t="str">
        <f aca="false">IF(OR(Q321="",T321=""),"",IF(MIN(MOD((Q321+T321),32),32-MOD((Q321+T321),32))&lt;=0.25,32,IF(MIN(MOD((Q321+T321),16),16-MOD((Q321+T321),16))&lt;=0.25,16,IF(MIN(MOD((Q321+T321),8),8-MOD((Q321+T321),8))&lt;=0.25,8,""))))</f>
        <v/>
      </c>
    </row>
    <row r="322" customFormat="false" ht="15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9" t="str">
        <f aca="false">IF(A322="","",IFERROR(INDEX(Tracks!$E$2:$E$41,MATCH(A322,Tracks!$A$2:$A$41,0)),"?"))</f>
        <v/>
      </c>
      <c r="P322" s="9" t="str">
        <f aca="false">IF(A322="","",IFERROR(N(INDEX(Tracks!$F$2:$F$41,MATCH(A322,Tracks!$A$2:$A$41,0))),""))</f>
        <v/>
      </c>
      <c r="Q322" s="10" t="str">
        <f aca="false">IF(D322&lt;&gt;"",D322-1,IF(OR(A322="",C322="",N(P322)&lt;=0),"",(N(B322)*60+C322-IFERROR(N(INDEX(Tracks!$G$2:$G$41,MATCH(A322,Tracks!$A$2:$A$41,0))),0))*P322/240))</f>
        <v/>
      </c>
      <c r="R322" s="9" t="str">
        <f aca="false">IF(Q322="","",INT(Q322)+1)</f>
        <v/>
      </c>
      <c r="S322" s="10" t="str">
        <f aca="false">IF(OR(Q322="",D322&lt;&gt;""),"",MIN(4.75,ROUND((Q322-INT(Q322))*16,0)/4+1))</f>
        <v/>
      </c>
      <c r="T322" s="11" t="str">
        <f aca="false">IF(OR(E322="",N(P322)&lt;=0),"",E322*P322/240)</f>
        <v/>
      </c>
      <c r="U322" s="9" t="str">
        <f aca="false">IF(Q322="","",IF(MIN(MOD(Q322,32),32-MOD(Q322,32))&lt;=0.25,32,IF(MIN(MOD(Q322,16),16-MOD(Q322,16))&lt;=0.25,16,IF(MIN(MOD(Q322,8),8-MOD(Q322,8))&lt;=0.25,8,""))))</f>
        <v/>
      </c>
      <c r="V322" s="9" t="str">
        <f aca="false">IF(OR(Q322="",T322=""),"",IF(MIN(MOD((Q322+T322),32),32-MOD((Q322+T322),32))&lt;=0.25,32,IF(MIN(MOD((Q322+T322),16),16-MOD((Q322+T322),16))&lt;=0.25,16,IF(MIN(MOD((Q322+T322),8),8-MOD((Q322+T322),8))&lt;=0.25,8,""))))</f>
        <v/>
      </c>
    </row>
    <row r="323" customFormat="false" ht="15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9" t="str">
        <f aca="false">IF(A323="","",IFERROR(INDEX(Tracks!$E$2:$E$41,MATCH(A323,Tracks!$A$2:$A$41,0)),"?"))</f>
        <v/>
      </c>
      <c r="P323" s="9" t="str">
        <f aca="false">IF(A323="","",IFERROR(N(INDEX(Tracks!$F$2:$F$41,MATCH(A323,Tracks!$A$2:$A$41,0))),""))</f>
        <v/>
      </c>
      <c r="Q323" s="10" t="str">
        <f aca="false">IF(D323&lt;&gt;"",D323-1,IF(OR(A323="",C323="",N(P323)&lt;=0),"",(N(B323)*60+C323-IFERROR(N(INDEX(Tracks!$G$2:$G$41,MATCH(A323,Tracks!$A$2:$A$41,0))),0))*P323/240))</f>
        <v/>
      </c>
      <c r="R323" s="9" t="str">
        <f aca="false">IF(Q323="","",INT(Q323)+1)</f>
        <v/>
      </c>
      <c r="S323" s="10" t="str">
        <f aca="false">IF(OR(Q323="",D323&lt;&gt;""),"",MIN(4.75,ROUND((Q323-INT(Q323))*16,0)/4+1))</f>
        <v/>
      </c>
      <c r="T323" s="11" t="str">
        <f aca="false">IF(OR(E323="",N(P323)&lt;=0),"",E323*P323/240)</f>
        <v/>
      </c>
      <c r="U323" s="9" t="str">
        <f aca="false">IF(Q323="","",IF(MIN(MOD(Q323,32),32-MOD(Q323,32))&lt;=0.25,32,IF(MIN(MOD(Q323,16),16-MOD(Q323,16))&lt;=0.25,16,IF(MIN(MOD(Q323,8),8-MOD(Q323,8))&lt;=0.25,8,""))))</f>
        <v/>
      </c>
      <c r="V323" s="9" t="str">
        <f aca="false">IF(OR(Q323="",T323=""),"",IF(MIN(MOD((Q323+T323),32),32-MOD((Q323+T323),32))&lt;=0.25,32,IF(MIN(MOD((Q323+T323),16),16-MOD((Q323+T323),16))&lt;=0.25,16,IF(MIN(MOD((Q323+T323),8),8-MOD((Q323+T323),8))&lt;=0.25,8,""))))</f>
        <v/>
      </c>
    </row>
    <row r="324" customFormat="false" ht="15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9" t="str">
        <f aca="false">IF(A324="","",IFERROR(INDEX(Tracks!$E$2:$E$41,MATCH(A324,Tracks!$A$2:$A$41,0)),"?"))</f>
        <v/>
      </c>
      <c r="P324" s="9" t="str">
        <f aca="false">IF(A324="","",IFERROR(N(INDEX(Tracks!$F$2:$F$41,MATCH(A324,Tracks!$A$2:$A$41,0))),""))</f>
        <v/>
      </c>
      <c r="Q324" s="10" t="str">
        <f aca="false">IF(D324&lt;&gt;"",D324-1,IF(OR(A324="",C324="",N(P324)&lt;=0),"",(N(B324)*60+C324-IFERROR(N(INDEX(Tracks!$G$2:$G$41,MATCH(A324,Tracks!$A$2:$A$41,0))),0))*P324/240))</f>
        <v/>
      </c>
      <c r="R324" s="9" t="str">
        <f aca="false">IF(Q324="","",INT(Q324)+1)</f>
        <v/>
      </c>
      <c r="S324" s="10" t="str">
        <f aca="false">IF(OR(Q324="",D324&lt;&gt;""),"",MIN(4.75,ROUND((Q324-INT(Q324))*16,0)/4+1))</f>
        <v/>
      </c>
      <c r="T324" s="11" t="str">
        <f aca="false">IF(OR(E324="",N(P324)&lt;=0),"",E324*P324/240)</f>
        <v/>
      </c>
      <c r="U324" s="9" t="str">
        <f aca="false">IF(Q324="","",IF(MIN(MOD(Q324,32),32-MOD(Q324,32))&lt;=0.25,32,IF(MIN(MOD(Q324,16),16-MOD(Q324,16))&lt;=0.25,16,IF(MIN(MOD(Q324,8),8-MOD(Q324,8))&lt;=0.25,8,""))))</f>
        <v/>
      </c>
      <c r="V324" s="9" t="str">
        <f aca="false">IF(OR(Q324="",T324=""),"",IF(MIN(MOD((Q324+T324),32),32-MOD((Q324+T324),32))&lt;=0.25,32,IF(MIN(MOD((Q324+T324),16),16-MOD((Q324+T324),16))&lt;=0.25,16,IF(MIN(MOD((Q324+T324),8),8-MOD((Q324+T324),8))&lt;=0.25,8,""))))</f>
        <v/>
      </c>
    </row>
    <row r="325" customFormat="false" ht="15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9" t="str">
        <f aca="false">IF(A325="","",IFERROR(INDEX(Tracks!$E$2:$E$41,MATCH(A325,Tracks!$A$2:$A$41,0)),"?"))</f>
        <v/>
      </c>
      <c r="P325" s="9" t="str">
        <f aca="false">IF(A325="","",IFERROR(N(INDEX(Tracks!$F$2:$F$41,MATCH(A325,Tracks!$A$2:$A$41,0))),""))</f>
        <v/>
      </c>
      <c r="Q325" s="10" t="str">
        <f aca="false">IF(D325&lt;&gt;"",D325-1,IF(OR(A325="",C325="",N(P325)&lt;=0),"",(N(B325)*60+C325-IFERROR(N(INDEX(Tracks!$G$2:$G$41,MATCH(A325,Tracks!$A$2:$A$41,0))),0))*P325/240))</f>
        <v/>
      </c>
      <c r="R325" s="9" t="str">
        <f aca="false">IF(Q325="","",INT(Q325)+1)</f>
        <v/>
      </c>
      <c r="S325" s="10" t="str">
        <f aca="false">IF(OR(Q325="",D325&lt;&gt;""),"",MIN(4.75,ROUND((Q325-INT(Q325))*16,0)/4+1))</f>
        <v/>
      </c>
      <c r="T325" s="11" t="str">
        <f aca="false">IF(OR(E325="",N(P325)&lt;=0),"",E325*P325/240)</f>
        <v/>
      </c>
      <c r="U325" s="9" t="str">
        <f aca="false">IF(Q325="","",IF(MIN(MOD(Q325,32),32-MOD(Q325,32))&lt;=0.25,32,IF(MIN(MOD(Q325,16),16-MOD(Q325,16))&lt;=0.25,16,IF(MIN(MOD(Q325,8),8-MOD(Q325,8))&lt;=0.25,8,""))))</f>
        <v/>
      </c>
      <c r="V325" s="9" t="str">
        <f aca="false">IF(OR(Q325="",T325=""),"",IF(MIN(MOD((Q325+T325),32),32-MOD((Q325+T325),32))&lt;=0.25,32,IF(MIN(MOD((Q325+T325),16),16-MOD((Q325+T325),16))&lt;=0.25,16,IF(MIN(MOD((Q325+T325),8),8-MOD((Q325+T325),8))&lt;=0.25,8,""))))</f>
        <v/>
      </c>
    </row>
    <row r="326" customFormat="false" ht="15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9" t="str">
        <f aca="false">IF(A326="","",IFERROR(INDEX(Tracks!$E$2:$E$41,MATCH(A326,Tracks!$A$2:$A$41,0)),"?"))</f>
        <v/>
      </c>
      <c r="P326" s="9" t="str">
        <f aca="false">IF(A326="","",IFERROR(N(INDEX(Tracks!$F$2:$F$41,MATCH(A326,Tracks!$A$2:$A$41,0))),""))</f>
        <v/>
      </c>
      <c r="Q326" s="10" t="str">
        <f aca="false">IF(D326&lt;&gt;"",D326-1,IF(OR(A326="",C326="",N(P326)&lt;=0),"",(N(B326)*60+C326-IFERROR(N(INDEX(Tracks!$G$2:$G$41,MATCH(A326,Tracks!$A$2:$A$41,0))),0))*P326/240))</f>
        <v/>
      </c>
      <c r="R326" s="9" t="str">
        <f aca="false">IF(Q326="","",INT(Q326)+1)</f>
        <v/>
      </c>
      <c r="S326" s="10" t="str">
        <f aca="false">IF(OR(Q326="",D326&lt;&gt;""),"",MIN(4.75,ROUND((Q326-INT(Q326))*16,0)/4+1))</f>
        <v/>
      </c>
      <c r="T326" s="11" t="str">
        <f aca="false">IF(OR(E326="",N(P326)&lt;=0),"",E326*P326/240)</f>
        <v/>
      </c>
      <c r="U326" s="9" t="str">
        <f aca="false">IF(Q326="","",IF(MIN(MOD(Q326,32),32-MOD(Q326,32))&lt;=0.25,32,IF(MIN(MOD(Q326,16),16-MOD(Q326,16))&lt;=0.25,16,IF(MIN(MOD(Q326,8),8-MOD(Q326,8))&lt;=0.25,8,""))))</f>
        <v/>
      </c>
      <c r="V326" s="9" t="str">
        <f aca="false">IF(OR(Q326="",T326=""),"",IF(MIN(MOD((Q326+T326),32),32-MOD((Q326+T326),32))&lt;=0.25,32,IF(MIN(MOD((Q326+T326),16),16-MOD((Q326+T326),16))&lt;=0.25,16,IF(MIN(MOD((Q326+T326),8),8-MOD((Q326+T326),8))&lt;=0.25,8,""))))</f>
        <v/>
      </c>
    </row>
    <row r="327" customFormat="false" ht="15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9" t="str">
        <f aca="false">IF(A327="","",IFERROR(INDEX(Tracks!$E$2:$E$41,MATCH(A327,Tracks!$A$2:$A$41,0)),"?"))</f>
        <v/>
      </c>
      <c r="P327" s="9" t="str">
        <f aca="false">IF(A327="","",IFERROR(N(INDEX(Tracks!$F$2:$F$41,MATCH(A327,Tracks!$A$2:$A$41,0))),""))</f>
        <v/>
      </c>
      <c r="Q327" s="10" t="str">
        <f aca="false">IF(D327&lt;&gt;"",D327-1,IF(OR(A327="",C327="",N(P327)&lt;=0),"",(N(B327)*60+C327-IFERROR(N(INDEX(Tracks!$G$2:$G$41,MATCH(A327,Tracks!$A$2:$A$41,0))),0))*P327/240))</f>
        <v/>
      </c>
      <c r="R327" s="9" t="str">
        <f aca="false">IF(Q327="","",INT(Q327)+1)</f>
        <v/>
      </c>
      <c r="S327" s="10" t="str">
        <f aca="false">IF(OR(Q327="",D327&lt;&gt;""),"",MIN(4.75,ROUND((Q327-INT(Q327))*16,0)/4+1))</f>
        <v/>
      </c>
      <c r="T327" s="11" t="str">
        <f aca="false">IF(OR(E327="",N(P327)&lt;=0),"",E327*P327/240)</f>
        <v/>
      </c>
      <c r="U327" s="9" t="str">
        <f aca="false">IF(Q327="","",IF(MIN(MOD(Q327,32),32-MOD(Q327,32))&lt;=0.25,32,IF(MIN(MOD(Q327,16),16-MOD(Q327,16))&lt;=0.25,16,IF(MIN(MOD(Q327,8),8-MOD(Q327,8))&lt;=0.25,8,""))))</f>
        <v/>
      </c>
      <c r="V327" s="9" t="str">
        <f aca="false">IF(OR(Q327="",T327=""),"",IF(MIN(MOD((Q327+T327),32),32-MOD((Q327+T327),32))&lt;=0.25,32,IF(MIN(MOD((Q327+T327),16),16-MOD((Q327+T327),16))&lt;=0.25,16,IF(MIN(MOD((Q327+T327),8),8-MOD((Q327+T327),8))&lt;=0.25,8,""))))</f>
        <v/>
      </c>
    </row>
    <row r="328" customFormat="false" ht="15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9" t="str">
        <f aca="false">IF(A328="","",IFERROR(INDEX(Tracks!$E$2:$E$41,MATCH(A328,Tracks!$A$2:$A$41,0)),"?"))</f>
        <v/>
      </c>
      <c r="P328" s="9" t="str">
        <f aca="false">IF(A328="","",IFERROR(N(INDEX(Tracks!$F$2:$F$41,MATCH(A328,Tracks!$A$2:$A$41,0))),""))</f>
        <v/>
      </c>
      <c r="Q328" s="10" t="str">
        <f aca="false">IF(D328&lt;&gt;"",D328-1,IF(OR(A328="",C328="",N(P328)&lt;=0),"",(N(B328)*60+C328-IFERROR(N(INDEX(Tracks!$G$2:$G$41,MATCH(A328,Tracks!$A$2:$A$41,0))),0))*P328/240))</f>
        <v/>
      </c>
      <c r="R328" s="9" t="str">
        <f aca="false">IF(Q328="","",INT(Q328)+1)</f>
        <v/>
      </c>
      <c r="S328" s="10" t="str">
        <f aca="false">IF(OR(Q328="",D328&lt;&gt;""),"",MIN(4.75,ROUND((Q328-INT(Q328))*16,0)/4+1))</f>
        <v/>
      </c>
      <c r="T328" s="11" t="str">
        <f aca="false">IF(OR(E328="",N(P328)&lt;=0),"",E328*P328/240)</f>
        <v/>
      </c>
      <c r="U328" s="9" t="str">
        <f aca="false">IF(Q328="","",IF(MIN(MOD(Q328,32),32-MOD(Q328,32))&lt;=0.25,32,IF(MIN(MOD(Q328,16),16-MOD(Q328,16))&lt;=0.25,16,IF(MIN(MOD(Q328,8),8-MOD(Q328,8))&lt;=0.25,8,""))))</f>
        <v/>
      </c>
      <c r="V328" s="9" t="str">
        <f aca="false">IF(OR(Q328="",T328=""),"",IF(MIN(MOD((Q328+T328),32),32-MOD((Q328+T328),32))&lt;=0.25,32,IF(MIN(MOD((Q328+T328),16),16-MOD((Q328+T328),16))&lt;=0.25,16,IF(MIN(MOD((Q328+T328),8),8-MOD((Q328+T328),8))&lt;=0.25,8,""))))</f>
        <v/>
      </c>
    </row>
    <row r="329" customFormat="false" ht="15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9" t="str">
        <f aca="false">IF(A329="","",IFERROR(INDEX(Tracks!$E$2:$E$41,MATCH(A329,Tracks!$A$2:$A$41,0)),"?"))</f>
        <v/>
      </c>
      <c r="P329" s="9" t="str">
        <f aca="false">IF(A329="","",IFERROR(N(INDEX(Tracks!$F$2:$F$41,MATCH(A329,Tracks!$A$2:$A$41,0))),""))</f>
        <v/>
      </c>
      <c r="Q329" s="10" t="str">
        <f aca="false">IF(D329&lt;&gt;"",D329-1,IF(OR(A329="",C329="",N(P329)&lt;=0),"",(N(B329)*60+C329-IFERROR(N(INDEX(Tracks!$G$2:$G$41,MATCH(A329,Tracks!$A$2:$A$41,0))),0))*P329/240))</f>
        <v/>
      </c>
      <c r="R329" s="9" t="str">
        <f aca="false">IF(Q329="","",INT(Q329)+1)</f>
        <v/>
      </c>
      <c r="S329" s="10" t="str">
        <f aca="false">IF(OR(Q329="",D329&lt;&gt;""),"",MIN(4.75,ROUND((Q329-INT(Q329))*16,0)/4+1))</f>
        <v/>
      </c>
      <c r="T329" s="11" t="str">
        <f aca="false">IF(OR(E329="",N(P329)&lt;=0),"",E329*P329/240)</f>
        <v/>
      </c>
      <c r="U329" s="9" t="str">
        <f aca="false">IF(Q329="","",IF(MIN(MOD(Q329,32),32-MOD(Q329,32))&lt;=0.25,32,IF(MIN(MOD(Q329,16),16-MOD(Q329,16))&lt;=0.25,16,IF(MIN(MOD(Q329,8),8-MOD(Q329,8))&lt;=0.25,8,""))))</f>
        <v/>
      </c>
      <c r="V329" s="9" t="str">
        <f aca="false">IF(OR(Q329="",T329=""),"",IF(MIN(MOD((Q329+T329),32),32-MOD((Q329+T329),32))&lt;=0.25,32,IF(MIN(MOD((Q329+T329),16),16-MOD((Q329+T329),16))&lt;=0.25,16,IF(MIN(MOD((Q329+T329),8),8-MOD((Q329+T329),8))&lt;=0.25,8,""))))</f>
        <v/>
      </c>
    </row>
    <row r="330" customFormat="false" ht="15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9" t="str">
        <f aca="false">IF(A330="","",IFERROR(INDEX(Tracks!$E$2:$E$41,MATCH(A330,Tracks!$A$2:$A$41,0)),"?"))</f>
        <v/>
      </c>
      <c r="P330" s="9" t="str">
        <f aca="false">IF(A330="","",IFERROR(N(INDEX(Tracks!$F$2:$F$41,MATCH(A330,Tracks!$A$2:$A$41,0))),""))</f>
        <v/>
      </c>
      <c r="Q330" s="10" t="str">
        <f aca="false">IF(D330&lt;&gt;"",D330-1,IF(OR(A330="",C330="",N(P330)&lt;=0),"",(N(B330)*60+C330-IFERROR(N(INDEX(Tracks!$G$2:$G$41,MATCH(A330,Tracks!$A$2:$A$41,0))),0))*P330/240))</f>
        <v/>
      </c>
      <c r="R330" s="9" t="str">
        <f aca="false">IF(Q330="","",INT(Q330)+1)</f>
        <v/>
      </c>
      <c r="S330" s="10" t="str">
        <f aca="false">IF(OR(Q330="",D330&lt;&gt;""),"",MIN(4.75,ROUND((Q330-INT(Q330))*16,0)/4+1))</f>
        <v/>
      </c>
      <c r="T330" s="11" t="str">
        <f aca="false">IF(OR(E330="",N(P330)&lt;=0),"",E330*P330/240)</f>
        <v/>
      </c>
      <c r="U330" s="9" t="str">
        <f aca="false">IF(Q330="","",IF(MIN(MOD(Q330,32),32-MOD(Q330,32))&lt;=0.25,32,IF(MIN(MOD(Q330,16),16-MOD(Q330,16))&lt;=0.25,16,IF(MIN(MOD(Q330,8),8-MOD(Q330,8))&lt;=0.25,8,""))))</f>
        <v/>
      </c>
      <c r="V330" s="9" t="str">
        <f aca="false">IF(OR(Q330="",T330=""),"",IF(MIN(MOD((Q330+T330),32),32-MOD((Q330+T330),32))&lt;=0.25,32,IF(MIN(MOD((Q330+T330),16),16-MOD((Q330+T330),16))&lt;=0.25,16,IF(MIN(MOD((Q330+T330),8),8-MOD((Q330+T330),8))&lt;=0.25,8,""))))</f>
        <v/>
      </c>
    </row>
    <row r="331" customFormat="false" ht="15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9" t="str">
        <f aca="false">IF(A331="","",IFERROR(INDEX(Tracks!$E$2:$E$41,MATCH(A331,Tracks!$A$2:$A$41,0)),"?"))</f>
        <v/>
      </c>
      <c r="P331" s="9" t="str">
        <f aca="false">IF(A331="","",IFERROR(N(INDEX(Tracks!$F$2:$F$41,MATCH(A331,Tracks!$A$2:$A$41,0))),""))</f>
        <v/>
      </c>
      <c r="Q331" s="10" t="str">
        <f aca="false">IF(D331&lt;&gt;"",D331-1,IF(OR(A331="",C331="",N(P331)&lt;=0),"",(N(B331)*60+C331-IFERROR(N(INDEX(Tracks!$G$2:$G$41,MATCH(A331,Tracks!$A$2:$A$41,0))),0))*P331/240))</f>
        <v/>
      </c>
      <c r="R331" s="9" t="str">
        <f aca="false">IF(Q331="","",INT(Q331)+1)</f>
        <v/>
      </c>
      <c r="S331" s="10" t="str">
        <f aca="false">IF(OR(Q331="",D331&lt;&gt;""),"",MIN(4.75,ROUND((Q331-INT(Q331))*16,0)/4+1))</f>
        <v/>
      </c>
      <c r="T331" s="11" t="str">
        <f aca="false">IF(OR(E331="",N(P331)&lt;=0),"",E331*P331/240)</f>
        <v/>
      </c>
      <c r="U331" s="9" t="str">
        <f aca="false">IF(Q331="","",IF(MIN(MOD(Q331,32),32-MOD(Q331,32))&lt;=0.25,32,IF(MIN(MOD(Q331,16),16-MOD(Q331,16))&lt;=0.25,16,IF(MIN(MOD(Q331,8),8-MOD(Q331,8))&lt;=0.25,8,""))))</f>
        <v/>
      </c>
      <c r="V331" s="9" t="str">
        <f aca="false">IF(OR(Q331="",T331=""),"",IF(MIN(MOD((Q331+T331),32),32-MOD((Q331+T331),32))&lt;=0.25,32,IF(MIN(MOD((Q331+T331),16),16-MOD((Q331+T331),16))&lt;=0.25,16,IF(MIN(MOD((Q331+T331),8),8-MOD((Q331+T331),8))&lt;=0.25,8,""))))</f>
        <v/>
      </c>
    </row>
    <row r="332" customFormat="false" ht="15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9" t="str">
        <f aca="false">IF(A332="","",IFERROR(INDEX(Tracks!$E$2:$E$41,MATCH(A332,Tracks!$A$2:$A$41,0)),"?"))</f>
        <v/>
      </c>
      <c r="P332" s="9" t="str">
        <f aca="false">IF(A332="","",IFERROR(N(INDEX(Tracks!$F$2:$F$41,MATCH(A332,Tracks!$A$2:$A$41,0))),""))</f>
        <v/>
      </c>
      <c r="Q332" s="10" t="str">
        <f aca="false">IF(D332&lt;&gt;"",D332-1,IF(OR(A332="",C332="",N(P332)&lt;=0),"",(N(B332)*60+C332-IFERROR(N(INDEX(Tracks!$G$2:$G$41,MATCH(A332,Tracks!$A$2:$A$41,0))),0))*P332/240))</f>
        <v/>
      </c>
      <c r="R332" s="9" t="str">
        <f aca="false">IF(Q332="","",INT(Q332)+1)</f>
        <v/>
      </c>
      <c r="S332" s="10" t="str">
        <f aca="false">IF(OR(Q332="",D332&lt;&gt;""),"",MIN(4.75,ROUND((Q332-INT(Q332))*16,0)/4+1))</f>
        <v/>
      </c>
      <c r="T332" s="11" t="str">
        <f aca="false">IF(OR(E332="",N(P332)&lt;=0),"",E332*P332/240)</f>
        <v/>
      </c>
      <c r="U332" s="9" t="str">
        <f aca="false">IF(Q332="","",IF(MIN(MOD(Q332,32),32-MOD(Q332,32))&lt;=0.25,32,IF(MIN(MOD(Q332,16),16-MOD(Q332,16))&lt;=0.25,16,IF(MIN(MOD(Q332,8),8-MOD(Q332,8))&lt;=0.25,8,""))))</f>
        <v/>
      </c>
      <c r="V332" s="9" t="str">
        <f aca="false">IF(OR(Q332="",T332=""),"",IF(MIN(MOD((Q332+T332),32),32-MOD((Q332+T332),32))&lt;=0.25,32,IF(MIN(MOD((Q332+T332),16),16-MOD((Q332+T332),16))&lt;=0.25,16,IF(MIN(MOD((Q332+T332),8),8-MOD((Q332+T332),8))&lt;=0.25,8,""))))</f>
        <v/>
      </c>
    </row>
    <row r="333" customFormat="false" ht="15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9" t="str">
        <f aca="false">IF(A333="","",IFERROR(INDEX(Tracks!$E$2:$E$41,MATCH(A333,Tracks!$A$2:$A$41,0)),"?"))</f>
        <v/>
      </c>
      <c r="P333" s="9" t="str">
        <f aca="false">IF(A333="","",IFERROR(N(INDEX(Tracks!$F$2:$F$41,MATCH(A333,Tracks!$A$2:$A$41,0))),""))</f>
        <v/>
      </c>
      <c r="Q333" s="10" t="str">
        <f aca="false">IF(D333&lt;&gt;"",D333-1,IF(OR(A333="",C333="",N(P333)&lt;=0),"",(N(B333)*60+C333-IFERROR(N(INDEX(Tracks!$G$2:$G$41,MATCH(A333,Tracks!$A$2:$A$41,0))),0))*P333/240))</f>
        <v/>
      </c>
      <c r="R333" s="9" t="str">
        <f aca="false">IF(Q333="","",INT(Q333)+1)</f>
        <v/>
      </c>
      <c r="S333" s="10" t="str">
        <f aca="false">IF(OR(Q333="",D333&lt;&gt;""),"",MIN(4.75,ROUND((Q333-INT(Q333))*16,0)/4+1))</f>
        <v/>
      </c>
      <c r="T333" s="11" t="str">
        <f aca="false">IF(OR(E333="",N(P333)&lt;=0),"",E333*P333/240)</f>
        <v/>
      </c>
      <c r="U333" s="9" t="str">
        <f aca="false">IF(Q333="","",IF(MIN(MOD(Q333,32),32-MOD(Q333,32))&lt;=0.25,32,IF(MIN(MOD(Q333,16),16-MOD(Q333,16))&lt;=0.25,16,IF(MIN(MOD(Q333,8),8-MOD(Q333,8))&lt;=0.25,8,""))))</f>
        <v/>
      </c>
      <c r="V333" s="9" t="str">
        <f aca="false">IF(OR(Q333="",T333=""),"",IF(MIN(MOD((Q333+T333),32),32-MOD((Q333+T333),32))&lt;=0.25,32,IF(MIN(MOD((Q333+T333),16),16-MOD((Q333+T333),16))&lt;=0.25,16,IF(MIN(MOD((Q333+T333),8),8-MOD((Q333+T333),8))&lt;=0.25,8,""))))</f>
        <v/>
      </c>
    </row>
    <row r="334" customFormat="false" ht="15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9" t="str">
        <f aca="false">IF(A334="","",IFERROR(INDEX(Tracks!$E$2:$E$41,MATCH(A334,Tracks!$A$2:$A$41,0)),"?"))</f>
        <v/>
      </c>
      <c r="P334" s="9" t="str">
        <f aca="false">IF(A334="","",IFERROR(N(INDEX(Tracks!$F$2:$F$41,MATCH(A334,Tracks!$A$2:$A$41,0))),""))</f>
        <v/>
      </c>
      <c r="Q334" s="10" t="str">
        <f aca="false">IF(D334&lt;&gt;"",D334-1,IF(OR(A334="",C334="",N(P334)&lt;=0),"",(N(B334)*60+C334-IFERROR(N(INDEX(Tracks!$G$2:$G$41,MATCH(A334,Tracks!$A$2:$A$41,0))),0))*P334/240))</f>
        <v/>
      </c>
      <c r="R334" s="9" t="str">
        <f aca="false">IF(Q334="","",INT(Q334)+1)</f>
        <v/>
      </c>
      <c r="S334" s="10" t="str">
        <f aca="false">IF(OR(Q334="",D334&lt;&gt;""),"",MIN(4.75,ROUND((Q334-INT(Q334))*16,0)/4+1))</f>
        <v/>
      </c>
      <c r="T334" s="11" t="str">
        <f aca="false">IF(OR(E334="",N(P334)&lt;=0),"",E334*P334/240)</f>
        <v/>
      </c>
      <c r="U334" s="9" t="str">
        <f aca="false">IF(Q334="","",IF(MIN(MOD(Q334,32),32-MOD(Q334,32))&lt;=0.25,32,IF(MIN(MOD(Q334,16),16-MOD(Q334,16))&lt;=0.25,16,IF(MIN(MOD(Q334,8),8-MOD(Q334,8))&lt;=0.25,8,""))))</f>
        <v/>
      </c>
      <c r="V334" s="9" t="str">
        <f aca="false">IF(OR(Q334="",T334=""),"",IF(MIN(MOD((Q334+T334),32),32-MOD((Q334+T334),32))&lt;=0.25,32,IF(MIN(MOD((Q334+T334),16),16-MOD((Q334+T334),16))&lt;=0.25,16,IF(MIN(MOD((Q334+T334),8),8-MOD((Q334+T334),8))&lt;=0.25,8,""))))</f>
        <v/>
      </c>
    </row>
    <row r="335" customFormat="false" ht="15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9" t="str">
        <f aca="false">IF(A335="","",IFERROR(INDEX(Tracks!$E$2:$E$41,MATCH(A335,Tracks!$A$2:$A$41,0)),"?"))</f>
        <v/>
      </c>
      <c r="P335" s="9" t="str">
        <f aca="false">IF(A335="","",IFERROR(N(INDEX(Tracks!$F$2:$F$41,MATCH(A335,Tracks!$A$2:$A$41,0))),""))</f>
        <v/>
      </c>
      <c r="Q335" s="10" t="str">
        <f aca="false">IF(D335&lt;&gt;"",D335-1,IF(OR(A335="",C335="",N(P335)&lt;=0),"",(N(B335)*60+C335-IFERROR(N(INDEX(Tracks!$G$2:$G$41,MATCH(A335,Tracks!$A$2:$A$41,0))),0))*P335/240))</f>
        <v/>
      </c>
      <c r="R335" s="9" t="str">
        <f aca="false">IF(Q335="","",INT(Q335)+1)</f>
        <v/>
      </c>
      <c r="S335" s="10" t="str">
        <f aca="false">IF(OR(Q335="",D335&lt;&gt;""),"",MIN(4.75,ROUND((Q335-INT(Q335))*16,0)/4+1))</f>
        <v/>
      </c>
      <c r="T335" s="11" t="str">
        <f aca="false">IF(OR(E335="",N(P335)&lt;=0),"",E335*P335/240)</f>
        <v/>
      </c>
      <c r="U335" s="9" t="str">
        <f aca="false">IF(Q335="","",IF(MIN(MOD(Q335,32),32-MOD(Q335,32))&lt;=0.25,32,IF(MIN(MOD(Q335,16),16-MOD(Q335,16))&lt;=0.25,16,IF(MIN(MOD(Q335,8),8-MOD(Q335,8))&lt;=0.25,8,""))))</f>
        <v/>
      </c>
      <c r="V335" s="9" t="str">
        <f aca="false">IF(OR(Q335="",T335=""),"",IF(MIN(MOD((Q335+T335),32),32-MOD((Q335+T335),32))&lt;=0.25,32,IF(MIN(MOD((Q335+T335),16),16-MOD((Q335+T335),16))&lt;=0.25,16,IF(MIN(MOD((Q335+T335),8),8-MOD((Q335+T335),8))&lt;=0.25,8,""))))</f>
        <v/>
      </c>
    </row>
    <row r="336" customFormat="false" ht="15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9" t="str">
        <f aca="false">IF(A336="","",IFERROR(INDEX(Tracks!$E$2:$E$41,MATCH(A336,Tracks!$A$2:$A$41,0)),"?"))</f>
        <v/>
      </c>
      <c r="P336" s="9" t="str">
        <f aca="false">IF(A336="","",IFERROR(N(INDEX(Tracks!$F$2:$F$41,MATCH(A336,Tracks!$A$2:$A$41,0))),""))</f>
        <v/>
      </c>
      <c r="Q336" s="10" t="str">
        <f aca="false">IF(D336&lt;&gt;"",D336-1,IF(OR(A336="",C336="",N(P336)&lt;=0),"",(N(B336)*60+C336-IFERROR(N(INDEX(Tracks!$G$2:$G$41,MATCH(A336,Tracks!$A$2:$A$41,0))),0))*P336/240))</f>
        <v/>
      </c>
      <c r="R336" s="9" t="str">
        <f aca="false">IF(Q336="","",INT(Q336)+1)</f>
        <v/>
      </c>
      <c r="S336" s="10" t="str">
        <f aca="false">IF(OR(Q336="",D336&lt;&gt;""),"",MIN(4.75,ROUND((Q336-INT(Q336))*16,0)/4+1))</f>
        <v/>
      </c>
      <c r="T336" s="11" t="str">
        <f aca="false">IF(OR(E336="",N(P336)&lt;=0),"",E336*P336/240)</f>
        <v/>
      </c>
      <c r="U336" s="9" t="str">
        <f aca="false">IF(Q336="","",IF(MIN(MOD(Q336,32),32-MOD(Q336,32))&lt;=0.25,32,IF(MIN(MOD(Q336,16),16-MOD(Q336,16))&lt;=0.25,16,IF(MIN(MOD(Q336,8),8-MOD(Q336,8))&lt;=0.25,8,""))))</f>
        <v/>
      </c>
      <c r="V336" s="9" t="str">
        <f aca="false">IF(OR(Q336="",T336=""),"",IF(MIN(MOD((Q336+T336),32),32-MOD((Q336+T336),32))&lt;=0.25,32,IF(MIN(MOD((Q336+T336),16),16-MOD((Q336+T336),16))&lt;=0.25,16,IF(MIN(MOD((Q336+T336),8),8-MOD((Q336+T336),8))&lt;=0.25,8,""))))</f>
        <v/>
      </c>
    </row>
    <row r="337" customFormat="false" ht="15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9" t="str">
        <f aca="false">IF(A337="","",IFERROR(INDEX(Tracks!$E$2:$E$41,MATCH(A337,Tracks!$A$2:$A$41,0)),"?"))</f>
        <v/>
      </c>
      <c r="P337" s="9" t="str">
        <f aca="false">IF(A337="","",IFERROR(N(INDEX(Tracks!$F$2:$F$41,MATCH(A337,Tracks!$A$2:$A$41,0))),""))</f>
        <v/>
      </c>
      <c r="Q337" s="10" t="str">
        <f aca="false">IF(D337&lt;&gt;"",D337-1,IF(OR(A337="",C337="",N(P337)&lt;=0),"",(N(B337)*60+C337-IFERROR(N(INDEX(Tracks!$G$2:$G$41,MATCH(A337,Tracks!$A$2:$A$41,0))),0))*P337/240))</f>
        <v/>
      </c>
      <c r="R337" s="9" t="str">
        <f aca="false">IF(Q337="","",INT(Q337)+1)</f>
        <v/>
      </c>
      <c r="S337" s="10" t="str">
        <f aca="false">IF(OR(Q337="",D337&lt;&gt;""),"",MIN(4.75,ROUND((Q337-INT(Q337))*16,0)/4+1))</f>
        <v/>
      </c>
      <c r="T337" s="11" t="str">
        <f aca="false">IF(OR(E337="",N(P337)&lt;=0),"",E337*P337/240)</f>
        <v/>
      </c>
      <c r="U337" s="9" t="str">
        <f aca="false">IF(Q337="","",IF(MIN(MOD(Q337,32),32-MOD(Q337,32))&lt;=0.25,32,IF(MIN(MOD(Q337,16),16-MOD(Q337,16))&lt;=0.25,16,IF(MIN(MOD(Q337,8),8-MOD(Q337,8))&lt;=0.25,8,""))))</f>
        <v/>
      </c>
      <c r="V337" s="9" t="str">
        <f aca="false">IF(OR(Q337="",T337=""),"",IF(MIN(MOD((Q337+T337),32),32-MOD((Q337+T337),32))&lt;=0.25,32,IF(MIN(MOD((Q337+T337),16),16-MOD((Q337+T337),16))&lt;=0.25,16,IF(MIN(MOD((Q337+T337),8),8-MOD((Q337+T337),8))&lt;=0.25,8,""))))</f>
        <v/>
      </c>
    </row>
    <row r="338" customFormat="false" ht="15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9" t="str">
        <f aca="false">IF(A338="","",IFERROR(INDEX(Tracks!$E$2:$E$41,MATCH(A338,Tracks!$A$2:$A$41,0)),"?"))</f>
        <v/>
      </c>
      <c r="P338" s="9" t="str">
        <f aca="false">IF(A338="","",IFERROR(N(INDEX(Tracks!$F$2:$F$41,MATCH(A338,Tracks!$A$2:$A$41,0))),""))</f>
        <v/>
      </c>
      <c r="Q338" s="10" t="str">
        <f aca="false">IF(D338&lt;&gt;"",D338-1,IF(OR(A338="",C338="",N(P338)&lt;=0),"",(N(B338)*60+C338-IFERROR(N(INDEX(Tracks!$G$2:$G$41,MATCH(A338,Tracks!$A$2:$A$41,0))),0))*P338/240))</f>
        <v/>
      </c>
      <c r="R338" s="9" t="str">
        <f aca="false">IF(Q338="","",INT(Q338)+1)</f>
        <v/>
      </c>
      <c r="S338" s="10" t="str">
        <f aca="false">IF(OR(Q338="",D338&lt;&gt;""),"",MIN(4.75,ROUND((Q338-INT(Q338))*16,0)/4+1))</f>
        <v/>
      </c>
      <c r="T338" s="11" t="str">
        <f aca="false">IF(OR(E338="",N(P338)&lt;=0),"",E338*P338/240)</f>
        <v/>
      </c>
      <c r="U338" s="9" t="str">
        <f aca="false">IF(Q338="","",IF(MIN(MOD(Q338,32),32-MOD(Q338,32))&lt;=0.25,32,IF(MIN(MOD(Q338,16),16-MOD(Q338,16))&lt;=0.25,16,IF(MIN(MOD(Q338,8),8-MOD(Q338,8))&lt;=0.25,8,""))))</f>
        <v/>
      </c>
      <c r="V338" s="9" t="str">
        <f aca="false">IF(OR(Q338="",T338=""),"",IF(MIN(MOD((Q338+T338),32),32-MOD((Q338+T338),32))&lt;=0.25,32,IF(MIN(MOD((Q338+T338),16),16-MOD((Q338+T338),16))&lt;=0.25,16,IF(MIN(MOD((Q338+T338),8),8-MOD((Q338+T338),8))&lt;=0.25,8,""))))</f>
        <v/>
      </c>
    </row>
    <row r="339" customFormat="false" ht="15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9" t="str">
        <f aca="false">IF(A339="","",IFERROR(INDEX(Tracks!$E$2:$E$41,MATCH(A339,Tracks!$A$2:$A$41,0)),"?"))</f>
        <v/>
      </c>
      <c r="P339" s="9" t="str">
        <f aca="false">IF(A339="","",IFERROR(N(INDEX(Tracks!$F$2:$F$41,MATCH(A339,Tracks!$A$2:$A$41,0))),""))</f>
        <v/>
      </c>
      <c r="Q339" s="10" t="str">
        <f aca="false">IF(D339&lt;&gt;"",D339-1,IF(OR(A339="",C339="",N(P339)&lt;=0),"",(N(B339)*60+C339-IFERROR(N(INDEX(Tracks!$G$2:$G$41,MATCH(A339,Tracks!$A$2:$A$41,0))),0))*P339/240))</f>
        <v/>
      </c>
      <c r="R339" s="9" t="str">
        <f aca="false">IF(Q339="","",INT(Q339)+1)</f>
        <v/>
      </c>
      <c r="S339" s="10" t="str">
        <f aca="false">IF(OR(Q339="",D339&lt;&gt;""),"",MIN(4.75,ROUND((Q339-INT(Q339))*16,0)/4+1))</f>
        <v/>
      </c>
      <c r="T339" s="11" t="str">
        <f aca="false">IF(OR(E339="",N(P339)&lt;=0),"",E339*P339/240)</f>
        <v/>
      </c>
      <c r="U339" s="9" t="str">
        <f aca="false">IF(Q339="","",IF(MIN(MOD(Q339,32),32-MOD(Q339,32))&lt;=0.25,32,IF(MIN(MOD(Q339,16),16-MOD(Q339,16))&lt;=0.25,16,IF(MIN(MOD(Q339,8),8-MOD(Q339,8))&lt;=0.25,8,""))))</f>
        <v/>
      </c>
      <c r="V339" s="9" t="str">
        <f aca="false">IF(OR(Q339="",T339=""),"",IF(MIN(MOD((Q339+T339),32),32-MOD((Q339+T339),32))&lt;=0.25,32,IF(MIN(MOD((Q339+T339),16),16-MOD((Q339+T339),16))&lt;=0.25,16,IF(MIN(MOD((Q339+T339),8),8-MOD((Q339+T339),8))&lt;=0.25,8,""))))</f>
        <v/>
      </c>
    </row>
    <row r="340" customFormat="false" ht="15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9" t="str">
        <f aca="false">IF(A340="","",IFERROR(INDEX(Tracks!$E$2:$E$41,MATCH(A340,Tracks!$A$2:$A$41,0)),"?"))</f>
        <v/>
      </c>
      <c r="P340" s="9" t="str">
        <f aca="false">IF(A340="","",IFERROR(N(INDEX(Tracks!$F$2:$F$41,MATCH(A340,Tracks!$A$2:$A$41,0))),""))</f>
        <v/>
      </c>
      <c r="Q340" s="10" t="str">
        <f aca="false">IF(D340&lt;&gt;"",D340-1,IF(OR(A340="",C340="",N(P340)&lt;=0),"",(N(B340)*60+C340-IFERROR(N(INDEX(Tracks!$G$2:$G$41,MATCH(A340,Tracks!$A$2:$A$41,0))),0))*P340/240))</f>
        <v/>
      </c>
      <c r="R340" s="9" t="str">
        <f aca="false">IF(Q340="","",INT(Q340)+1)</f>
        <v/>
      </c>
      <c r="S340" s="10" t="str">
        <f aca="false">IF(OR(Q340="",D340&lt;&gt;""),"",MIN(4.75,ROUND((Q340-INT(Q340))*16,0)/4+1))</f>
        <v/>
      </c>
      <c r="T340" s="11" t="str">
        <f aca="false">IF(OR(E340="",N(P340)&lt;=0),"",E340*P340/240)</f>
        <v/>
      </c>
      <c r="U340" s="9" t="str">
        <f aca="false">IF(Q340="","",IF(MIN(MOD(Q340,32),32-MOD(Q340,32))&lt;=0.25,32,IF(MIN(MOD(Q340,16),16-MOD(Q340,16))&lt;=0.25,16,IF(MIN(MOD(Q340,8),8-MOD(Q340,8))&lt;=0.25,8,""))))</f>
        <v/>
      </c>
      <c r="V340" s="9" t="str">
        <f aca="false">IF(OR(Q340="",T340=""),"",IF(MIN(MOD((Q340+T340),32),32-MOD((Q340+T340),32))&lt;=0.25,32,IF(MIN(MOD((Q340+T340),16),16-MOD((Q340+T340),16))&lt;=0.25,16,IF(MIN(MOD((Q340+T340),8),8-MOD((Q340+T340),8))&lt;=0.25,8,""))))</f>
        <v/>
      </c>
    </row>
    <row r="341" customFormat="false" ht="15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9" t="str">
        <f aca="false">IF(A341="","",IFERROR(INDEX(Tracks!$E$2:$E$41,MATCH(A341,Tracks!$A$2:$A$41,0)),"?"))</f>
        <v/>
      </c>
      <c r="P341" s="9" t="str">
        <f aca="false">IF(A341="","",IFERROR(N(INDEX(Tracks!$F$2:$F$41,MATCH(A341,Tracks!$A$2:$A$41,0))),""))</f>
        <v/>
      </c>
      <c r="Q341" s="10" t="str">
        <f aca="false">IF(D341&lt;&gt;"",D341-1,IF(OR(A341="",C341="",N(P341)&lt;=0),"",(N(B341)*60+C341-IFERROR(N(INDEX(Tracks!$G$2:$G$41,MATCH(A341,Tracks!$A$2:$A$41,0))),0))*P341/240))</f>
        <v/>
      </c>
      <c r="R341" s="9" t="str">
        <f aca="false">IF(Q341="","",INT(Q341)+1)</f>
        <v/>
      </c>
      <c r="S341" s="10" t="str">
        <f aca="false">IF(OR(Q341="",D341&lt;&gt;""),"",MIN(4.75,ROUND((Q341-INT(Q341))*16,0)/4+1))</f>
        <v/>
      </c>
      <c r="T341" s="11" t="str">
        <f aca="false">IF(OR(E341="",N(P341)&lt;=0),"",E341*P341/240)</f>
        <v/>
      </c>
      <c r="U341" s="9" t="str">
        <f aca="false">IF(Q341="","",IF(MIN(MOD(Q341,32),32-MOD(Q341,32))&lt;=0.25,32,IF(MIN(MOD(Q341,16),16-MOD(Q341,16))&lt;=0.25,16,IF(MIN(MOD(Q341,8),8-MOD(Q341,8))&lt;=0.25,8,""))))</f>
        <v/>
      </c>
      <c r="V341" s="9" t="str">
        <f aca="false">IF(OR(Q341="",T341=""),"",IF(MIN(MOD((Q341+T341),32),32-MOD((Q341+T341),32))&lt;=0.25,32,IF(MIN(MOD((Q341+T341),16),16-MOD((Q341+T341),16))&lt;=0.25,16,IF(MIN(MOD((Q341+T341),8),8-MOD((Q341+T341),8))&lt;=0.25,8,""))))</f>
        <v/>
      </c>
    </row>
    <row r="342" customFormat="false" ht="15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9" t="str">
        <f aca="false">IF(A342="","",IFERROR(INDEX(Tracks!$E$2:$E$41,MATCH(A342,Tracks!$A$2:$A$41,0)),"?"))</f>
        <v/>
      </c>
      <c r="P342" s="9" t="str">
        <f aca="false">IF(A342="","",IFERROR(N(INDEX(Tracks!$F$2:$F$41,MATCH(A342,Tracks!$A$2:$A$41,0))),""))</f>
        <v/>
      </c>
      <c r="Q342" s="10" t="str">
        <f aca="false">IF(D342&lt;&gt;"",D342-1,IF(OR(A342="",C342="",N(P342)&lt;=0),"",(N(B342)*60+C342-IFERROR(N(INDEX(Tracks!$G$2:$G$41,MATCH(A342,Tracks!$A$2:$A$41,0))),0))*P342/240))</f>
        <v/>
      </c>
      <c r="R342" s="9" t="str">
        <f aca="false">IF(Q342="","",INT(Q342)+1)</f>
        <v/>
      </c>
      <c r="S342" s="10" t="str">
        <f aca="false">IF(OR(Q342="",D342&lt;&gt;""),"",MIN(4.75,ROUND((Q342-INT(Q342))*16,0)/4+1))</f>
        <v/>
      </c>
      <c r="T342" s="11" t="str">
        <f aca="false">IF(OR(E342="",N(P342)&lt;=0),"",E342*P342/240)</f>
        <v/>
      </c>
      <c r="U342" s="9" t="str">
        <f aca="false">IF(Q342="","",IF(MIN(MOD(Q342,32),32-MOD(Q342,32))&lt;=0.25,32,IF(MIN(MOD(Q342,16),16-MOD(Q342,16))&lt;=0.25,16,IF(MIN(MOD(Q342,8),8-MOD(Q342,8))&lt;=0.25,8,""))))</f>
        <v/>
      </c>
      <c r="V342" s="9" t="str">
        <f aca="false">IF(OR(Q342="",T342=""),"",IF(MIN(MOD((Q342+T342),32),32-MOD((Q342+T342),32))&lt;=0.25,32,IF(MIN(MOD((Q342+T342),16),16-MOD((Q342+T342),16))&lt;=0.25,16,IF(MIN(MOD((Q342+T342),8),8-MOD((Q342+T342),8))&lt;=0.25,8,""))))</f>
        <v/>
      </c>
    </row>
    <row r="343" customFormat="false" ht="15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9" t="str">
        <f aca="false">IF(A343="","",IFERROR(INDEX(Tracks!$E$2:$E$41,MATCH(A343,Tracks!$A$2:$A$41,0)),"?"))</f>
        <v/>
      </c>
      <c r="P343" s="9" t="str">
        <f aca="false">IF(A343="","",IFERROR(N(INDEX(Tracks!$F$2:$F$41,MATCH(A343,Tracks!$A$2:$A$41,0))),""))</f>
        <v/>
      </c>
      <c r="Q343" s="10" t="str">
        <f aca="false">IF(D343&lt;&gt;"",D343-1,IF(OR(A343="",C343="",N(P343)&lt;=0),"",(N(B343)*60+C343-IFERROR(N(INDEX(Tracks!$G$2:$G$41,MATCH(A343,Tracks!$A$2:$A$41,0))),0))*P343/240))</f>
        <v/>
      </c>
      <c r="R343" s="9" t="str">
        <f aca="false">IF(Q343="","",INT(Q343)+1)</f>
        <v/>
      </c>
      <c r="S343" s="10" t="str">
        <f aca="false">IF(OR(Q343="",D343&lt;&gt;""),"",MIN(4.75,ROUND((Q343-INT(Q343))*16,0)/4+1))</f>
        <v/>
      </c>
      <c r="T343" s="11" t="str">
        <f aca="false">IF(OR(E343="",N(P343)&lt;=0),"",E343*P343/240)</f>
        <v/>
      </c>
      <c r="U343" s="9" t="str">
        <f aca="false">IF(Q343="","",IF(MIN(MOD(Q343,32),32-MOD(Q343,32))&lt;=0.25,32,IF(MIN(MOD(Q343,16),16-MOD(Q343,16))&lt;=0.25,16,IF(MIN(MOD(Q343,8),8-MOD(Q343,8))&lt;=0.25,8,""))))</f>
        <v/>
      </c>
      <c r="V343" s="9" t="str">
        <f aca="false">IF(OR(Q343="",T343=""),"",IF(MIN(MOD((Q343+T343),32),32-MOD((Q343+T343),32))&lt;=0.25,32,IF(MIN(MOD((Q343+T343),16),16-MOD((Q343+T343),16))&lt;=0.25,16,IF(MIN(MOD((Q343+T343),8),8-MOD((Q343+T343),8))&lt;=0.25,8,""))))</f>
        <v/>
      </c>
    </row>
    <row r="344" customFormat="false" ht="15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9" t="str">
        <f aca="false">IF(A344="","",IFERROR(INDEX(Tracks!$E$2:$E$41,MATCH(A344,Tracks!$A$2:$A$41,0)),"?"))</f>
        <v/>
      </c>
      <c r="P344" s="9" t="str">
        <f aca="false">IF(A344="","",IFERROR(N(INDEX(Tracks!$F$2:$F$41,MATCH(A344,Tracks!$A$2:$A$41,0))),""))</f>
        <v/>
      </c>
      <c r="Q344" s="10" t="str">
        <f aca="false">IF(D344&lt;&gt;"",D344-1,IF(OR(A344="",C344="",N(P344)&lt;=0),"",(N(B344)*60+C344-IFERROR(N(INDEX(Tracks!$G$2:$G$41,MATCH(A344,Tracks!$A$2:$A$41,0))),0))*P344/240))</f>
        <v/>
      </c>
      <c r="R344" s="9" t="str">
        <f aca="false">IF(Q344="","",INT(Q344)+1)</f>
        <v/>
      </c>
      <c r="S344" s="10" t="str">
        <f aca="false">IF(OR(Q344="",D344&lt;&gt;""),"",MIN(4.75,ROUND((Q344-INT(Q344))*16,0)/4+1))</f>
        <v/>
      </c>
      <c r="T344" s="11" t="str">
        <f aca="false">IF(OR(E344="",N(P344)&lt;=0),"",E344*P344/240)</f>
        <v/>
      </c>
      <c r="U344" s="9" t="str">
        <f aca="false">IF(Q344="","",IF(MIN(MOD(Q344,32),32-MOD(Q344,32))&lt;=0.25,32,IF(MIN(MOD(Q344,16),16-MOD(Q344,16))&lt;=0.25,16,IF(MIN(MOD(Q344,8),8-MOD(Q344,8))&lt;=0.25,8,""))))</f>
        <v/>
      </c>
      <c r="V344" s="9" t="str">
        <f aca="false">IF(OR(Q344="",T344=""),"",IF(MIN(MOD((Q344+T344),32),32-MOD((Q344+T344),32))&lt;=0.25,32,IF(MIN(MOD((Q344+T344),16),16-MOD((Q344+T344),16))&lt;=0.25,16,IF(MIN(MOD((Q344+T344),8),8-MOD((Q344+T344),8))&lt;=0.25,8,""))))</f>
        <v/>
      </c>
    </row>
    <row r="345" customFormat="false" ht="15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9" t="str">
        <f aca="false">IF(A345="","",IFERROR(INDEX(Tracks!$E$2:$E$41,MATCH(A345,Tracks!$A$2:$A$41,0)),"?"))</f>
        <v/>
      </c>
      <c r="P345" s="9" t="str">
        <f aca="false">IF(A345="","",IFERROR(N(INDEX(Tracks!$F$2:$F$41,MATCH(A345,Tracks!$A$2:$A$41,0))),""))</f>
        <v/>
      </c>
      <c r="Q345" s="10" t="str">
        <f aca="false">IF(D345&lt;&gt;"",D345-1,IF(OR(A345="",C345="",N(P345)&lt;=0),"",(N(B345)*60+C345-IFERROR(N(INDEX(Tracks!$G$2:$G$41,MATCH(A345,Tracks!$A$2:$A$41,0))),0))*P345/240))</f>
        <v/>
      </c>
      <c r="R345" s="9" t="str">
        <f aca="false">IF(Q345="","",INT(Q345)+1)</f>
        <v/>
      </c>
      <c r="S345" s="10" t="str">
        <f aca="false">IF(OR(Q345="",D345&lt;&gt;""),"",MIN(4.75,ROUND((Q345-INT(Q345))*16,0)/4+1))</f>
        <v/>
      </c>
      <c r="T345" s="11" t="str">
        <f aca="false">IF(OR(E345="",N(P345)&lt;=0),"",E345*P345/240)</f>
        <v/>
      </c>
      <c r="U345" s="9" t="str">
        <f aca="false">IF(Q345="","",IF(MIN(MOD(Q345,32),32-MOD(Q345,32))&lt;=0.25,32,IF(MIN(MOD(Q345,16),16-MOD(Q345,16))&lt;=0.25,16,IF(MIN(MOD(Q345,8),8-MOD(Q345,8))&lt;=0.25,8,""))))</f>
        <v/>
      </c>
      <c r="V345" s="9" t="str">
        <f aca="false">IF(OR(Q345="",T345=""),"",IF(MIN(MOD((Q345+T345),32),32-MOD((Q345+T345),32))&lt;=0.25,32,IF(MIN(MOD((Q345+T345),16),16-MOD((Q345+T345),16))&lt;=0.25,16,IF(MIN(MOD((Q345+T345),8),8-MOD((Q345+T345),8))&lt;=0.25,8,""))))</f>
        <v/>
      </c>
    </row>
    <row r="346" customFormat="false" ht="15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9" t="str">
        <f aca="false">IF(A346="","",IFERROR(INDEX(Tracks!$E$2:$E$41,MATCH(A346,Tracks!$A$2:$A$41,0)),"?"))</f>
        <v/>
      </c>
      <c r="P346" s="9" t="str">
        <f aca="false">IF(A346="","",IFERROR(N(INDEX(Tracks!$F$2:$F$41,MATCH(A346,Tracks!$A$2:$A$41,0))),""))</f>
        <v/>
      </c>
      <c r="Q346" s="10" t="str">
        <f aca="false">IF(D346&lt;&gt;"",D346-1,IF(OR(A346="",C346="",N(P346)&lt;=0),"",(N(B346)*60+C346-IFERROR(N(INDEX(Tracks!$G$2:$G$41,MATCH(A346,Tracks!$A$2:$A$41,0))),0))*P346/240))</f>
        <v/>
      </c>
      <c r="R346" s="9" t="str">
        <f aca="false">IF(Q346="","",INT(Q346)+1)</f>
        <v/>
      </c>
      <c r="S346" s="10" t="str">
        <f aca="false">IF(OR(Q346="",D346&lt;&gt;""),"",MIN(4.75,ROUND((Q346-INT(Q346))*16,0)/4+1))</f>
        <v/>
      </c>
      <c r="T346" s="11" t="str">
        <f aca="false">IF(OR(E346="",N(P346)&lt;=0),"",E346*P346/240)</f>
        <v/>
      </c>
      <c r="U346" s="9" t="str">
        <f aca="false">IF(Q346="","",IF(MIN(MOD(Q346,32),32-MOD(Q346,32))&lt;=0.25,32,IF(MIN(MOD(Q346,16),16-MOD(Q346,16))&lt;=0.25,16,IF(MIN(MOD(Q346,8),8-MOD(Q346,8))&lt;=0.25,8,""))))</f>
        <v/>
      </c>
      <c r="V346" s="9" t="str">
        <f aca="false">IF(OR(Q346="",T346=""),"",IF(MIN(MOD((Q346+T346),32),32-MOD((Q346+T346),32))&lt;=0.25,32,IF(MIN(MOD((Q346+T346),16),16-MOD((Q346+T346),16))&lt;=0.25,16,IF(MIN(MOD((Q346+T346),8),8-MOD((Q346+T346),8))&lt;=0.25,8,""))))</f>
        <v/>
      </c>
    </row>
    <row r="347" customFormat="false" ht="15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9" t="str">
        <f aca="false">IF(A347="","",IFERROR(INDEX(Tracks!$E$2:$E$41,MATCH(A347,Tracks!$A$2:$A$41,0)),"?"))</f>
        <v/>
      </c>
      <c r="P347" s="9" t="str">
        <f aca="false">IF(A347="","",IFERROR(N(INDEX(Tracks!$F$2:$F$41,MATCH(A347,Tracks!$A$2:$A$41,0))),""))</f>
        <v/>
      </c>
      <c r="Q347" s="10" t="str">
        <f aca="false">IF(D347&lt;&gt;"",D347-1,IF(OR(A347="",C347="",N(P347)&lt;=0),"",(N(B347)*60+C347-IFERROR(N(INDEX(Tracks!$G$2:$G$41,MATCH(A347,Tracks!$A$2:$A$41,0))),0))*P347/240))</f>
        <v/>
      </c>
      <c r="R347" s="9" t="str">
        <f aca="false">IF(Q347="","",INT(Q347)+1)</f>
        <v/>
      </c>
      <c r="S347" s="10" t="str">
        <f aca="false">IF(OR(Q347="",D347&lt;&gt;""),"",MIN(4.75,ROUND((Q347-INT(Q347))*16,0)/4+1))</f>
        <v/>
      </c>
      <c r="T347" s="11" t="str">
        <f aca="false">IF(OR(E347="",N(P347)&lt;=0),"",E347*P347/240)</f>
        <v/>
      </c>
      <c r="U347" s="9" t="str">
        <f aca="false">IF(Q347="","",IF(MIN(MOD(Q347,32),32-MOD(Q347,32))&lt;=0.25,32,IF(MIN(MOD(Q347,16),16-MOD(Q347,16))&lt;=0.25,16,IF(MIN(MOD(Q347,8),8-MOD(Q347,8))&lt;=0.25,8,""))))</f>
        <v/>
      </c>
      <c r="V347" s="9" t="str">
        <f aca="false">IF(OR(Q347="",T347=""),"",IF(MIN(MOD((Q347+T347),32),32-MOD((Q347+T347),32))&lt;=0.25,32,IF(MIN(MOD((Q347+T347),16),16-MOD((Q347+T347),16))&lt;=0.25,16,IF(MIN(MOD((Q347+T347),8),8-MOD((Q347+T347),8))&lt;=0.25,8,""))))</f>
        <v/>
      </c>
    </row>
    <row r="348" customFormat="false" ht="15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9" t="str">
        <f aca="false">IF(A348="","",IFERROR(INDEX(Tracks!$E$2:$E$41,MATCH(A348,Tracks!$A$2:$A$41,0)),"?"))</f>
        <v/>
      </c>
      <c r="P348" s="9" t="str">
        <f aca="false">IF(A348="","",IFERROR(N(INDEX(Tracks!$F$2:$F$41,MATCH(A348,Tracks!$A$2:$A$41,0))),""))</f>
        <v/>
      </c>
      <c r="Q348" s="10" t="str">
        <f aca="false">IF(D348&lt;&gt;"",D348-1,IF(OR(A348="",C348="",N(P348)&lt;=0),"",(N(B348)*60+C348-IFERROR(N(INDEX(Tracks!$G$2:$G$41,MATCH(A348,Tracks!$A$2:$A$41,0))),0))*P348/240))</f>
        <v/>
      </c>
      <c r="R348" s="9" t="str">
        <f aca="false">IF(Q348="","",INT(Q348)+1)</f>
        <v/>
      </c>
      <c r="S348" s="10" t="str">
        <f aca="false">IF(OR(Q348="",D348&lt;&gt;""),"",MIN(4.75,ROUND((Q348-INT(Q348))*16,0)/4+1))</f>
        <v/>
      </c>
      <c r="T348" s="11" t="str">
        <f aca="false">IF(OR(E348="",N(P348)&lt;=0),"",E348*P348/240)</f>
        <v/>
      </c>
      <c r="U348" s="9" t="str">
        <f aca="false">IF(Q348="","",IF(MIN(MOD(Q348,32),32-MOD(Q348,32))&lt;=0.25,32,IF(MIN(MOD(Q348,16),16-MOD(Q348,16))&lt;=0.25,16,IF(MIN(MOD(Q348,8),8-MOD(Q348,8))&lt;=0.25,8,""))))</f>
        <v/>
      </c>
      <c r="V348" s="9" t="str">
        <f aca="false">IF(OR(Q348="",T348=""),"",IF(MIN(MOD((Q348+T348),32),32-MOD((Q348+T348),32))&lt;=0.25,32,IF(MIN(MOD((Q348+T348),16),16-MOD((Q348+T348),16))&lt;=0.25,16,IF(MIN(MOD((Q348+T348),8),8-MOD((Q348+T348),8))&lt;=0.25,8,""))))</f>
        <v/>
      </c>
    </row>
    <row r="349" customFormat="false" ht="15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9" t="str">
        <f aca="false">IF(A349="","",IFERROR(INDEX(Tracks!$E$2:$E$41,MATCH(A349,Tracks!$A$2:$A$41,0)),"?"))</f>
        <v/>
      </c>
      <c r="P349" s="9" t="str">
        <f aca="false">IF(A349="","",IFERROR(N(INDEX(Tracks!$F$2:$F$41,MATCH(A349,Tracks!$A$2:$A$41,0))),""))</f>
        <v/>
      </c>
      <c r="Q349" s="10" t="str">
        <f aca="false">IF(D349&lt;&gt;"",D349-1,IF(OR(A349="",C349="",N(P349)&lt;=0),"",(N(B349)*60+C349-IFERROR(N(INDEX(Tracks!$G$2:$G$41,MATCH(A349,Tracks!$A$2:$A$41,0))),0))*P349/240))</f>
        <v/>
      </c>
      <c r="R349" s="9" t="str">
        <f aca="false">IF(Q349="","",INT(Q349)+1)</f>
        <v/>
      </c>
      <c r="S349" s="10" t="str">
        <f aca="false">IF(OR(Q349="",D349&lt;&gt;""),"",MIN(4.75,ROUND((Q349-INT(Q349))*16,0)/4+1))</f>
        <v/>
      </c>
      <c r="T349" s="11" t="str">
        <f aca="false">IF(OR(E349="",N(P349)&lt;=0),"",E349*P349/240)</f>
        <v/>
      </c>
      <c r="U349" s="9" t="str">
        <f aca="false">IF(Q349="","",IF(MIN(MOD(Q349,32),32-MOD(Q349,32))&lt;=0.25,32,IF(MIN(MOD(Q349,16),16-MOD(Q349,16))&lt;=0.25,16,IF(MIN(MOD(Q349,8),8-MOD(Q349,8))&lt;=0.25,8,""))))</f>
        <v/>
      </c>
      <c r="V349" s="9" t="str">
        <f aca="false">IF(OR(Q349="",T349=""),"",IF(MIN(MOD((Q349+T349),32),32-MOD((Q349+T349),32))&lt;=0.25,32,IF(MIN(MOD((Q349+T349),16),16-MOD((Q349+T349),16))&lt;=0.25,16,IF(MIN(MOD((Q349+T349),8),8-MOD((Q349+T349),8))&lt;=0.25,8,""))))</f>
        <v/>
      </c>
    </row>
    <row r="350" customFormat="false" ht="15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9" t="str">
        <f aca="false">IF(A350="","",IFERROR(INDEX(Tracks!$E$2:$E$41,MATCH(A350,Tracks!$A$2:$A$41,0)),"?"))</f>
        <v/>
      </c>
      <c r="P350" s="9" t="str">
        <f aca="false">IF(A350="","",IFERROR(N(INDEX(Tracks!$F$2:$F$41,MATCH(A350,Tracks!$A$2:$A$41,0))),""))</f>
        <v/>
      </c>
      <c r="Q350" s="10" t="str">
        <f aca="false">IF(D350&lt;&gt;"",D350-1,IF(OR(A350="",C350="",N(P350)&lt;=0),"",(N(B350)*60+C350-IFERROR(N(INDEX(Tracks!$G$2:$G$41,MATCH(A350,Tracks!$A$2:$A$41,0))),0))*P350/240))</f>
        <v/>
      </c>
      <c r="R350" s="9" t="str">
        <f aca="false">IF(Q350="","",INT(Q350)+1)</f>
        <v/>
      </c>
      <c r="S350" s="10" t="str">
        <f aca="false">IF(OR(Q350="",D350&lt;&gt;""),"",MIN(4.75,ROUND((Q350-INT(Q350))*16,0)/4+1))</f>
        <v/>
      </c>
      <c r="T350" s="11" t="str">
        <f aca="false">IF(OR(E350="",N(P350)&lt;=0),"",E350*P350/240)</f>
        <v/>
      </c>
      <c r="U350" s="9" t="str">
        <f aca="false">IF(Q350="","",IF(MIN(MOD(Q350,32),32-MOD(Q350,32))&lt;=0.25,32,IF(MIN(MOD(Q350,16),16-MOD(Q350,16))&lt;=0.25,16,IF(MIN(MOD(Q350,8),8-MOD(Q350,8))&lt;=0.25,8,""))))</f>
        <v/>
      </c>
      <c r="V350" s="9" t="str">
        <f aca="false">IF(OR(Q350="",T350=""),"",IF(MIN(MOD((Q350+T350),32),32-MOD((Q350+T350),32))&lt;=0.25,32,IF(MIN(MOD((Q350+T350),16),16-MOD((Q350+T350),16))&lt;=0.25,16,IF(MIN(MOD((Q350+T350),8),8-MOD((Q350+T350),8))&lt;=0.25,8,""))))</f>
        <v/>
      </c>
    </row>
    <row r="351" customFormat="false" ht="15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9" t="str">
        <f aca="false">IF(A351="","",IFERROR(INDEX(Tracks!$E$2:$E$41,MATCH(A351,Tracks!$A$2:$A$41,0)),"?"))</f>
        <v/>
      </c>
      <c r="P351" s="9" t="str">
        <f aca="false">IF(A351="","",IFERROR(N(INDEX(Tracks!$F$2:$F$41,MATCH(A351,Tracks!$A$2:$A$41,0))),""))</f>
        <v/>
      </c>
      <c r="Q351" s="10" t="str">
        <f aca="false">IF(D351&lt;&gt;"",D351-1,IF(OR(A351="",C351="",N(P351)&lt;=0),"",(N(B351)*60+C351-IFERROR(N(INDEX(Tracks!$G$2:$G$41,MATCH(A351,Tracks!$A$2:$A$41,0))),0))*P351/240))</f>
        <v/>
      </c>
      <c r="R351" s="9" t="str">
        <f aca="false">IF(Q351="","",INT(Q351)+1)</f>
        <v/>
      </c>
      <c r="S351" s="10" t="str">
        <f aca="false">IF(OR(Q351="",D351&lt;&gt;""),"",MIN(4.75,ROUND((Q351-INT(Q351))*16,0)/4+1))</f>
        <v/>
      </c>
      <c r="T351" s="11" t="str">
        <f aca="false">IF(OR(E351="",N(P351)&lt;=0),"",E351*P351/240)</f>
        <v/>
      </c>
      <c r="U351" s="9" t="str">
        <f aca="false">IF(Q351="","",IF(MIN(MOD(Q351,32),32-MOD(Q351,32))&lt;=0.25,32,IF(MIN(MOD(Q351,16),16-MOD(Q351,16))&lt;=0.25,16,IF(MIN(MOD(Q351,8),8-MOD(Q351,8))&lt;=0.25,8,""))))</f>
        <v/>
      </c>
      <c r="V351" s="9" t="str">
        <f aca="false">IF(OR(Q351="",T351=""),"",IF(MIN(MOD((Q351+T351),32),32-MOD((Q351+T351),32))&lt;=0.25,32,IF(MIN(MOD((Q351+T351),16),16-MOD((Q351+T351),16))&lt;=0.25,16,IF(MIN(MOD((Q351+T351),8),8-MOD((Q351+T351),8))&lt;=0.25,8,""))))</f>
        <v/>
      </c>
    </row>
    <row r="352" customFormat="false" ht="15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9" t="str">
        <f aca="false">IF(A352="","",IFERROR(INDEX(Tracks!$E$2:$E$41,MATCH(A352,Tracks!$A$2:$A$41,0)),"?"))</f>
        <v/>
      </c>
      <c r="P352" s="9" t="str">
        <f aca="false">IF(A352="","",IFERROR(N(INDEX(Tracks!$F$2:$F$41,MATCH(A352,Tracks!$A$2:$A$41,0))),""))</f>
        <v/>
      </c>
      <c r="Q352" s="10" t="str">
        <f aca="false">IF(D352&lt;&gt;"",D352-1,IF(OR(A352="",C352="",N(P352)&lt;=0),"",(N(B352)*60+C352-IFERROR(N(INDEX(Tracks!$G$2:$G$41,MATCH(A352,Tracks!$A$2:$A$41,0))),0))*P352/240))</f>
        <v/>
      </c>
      <c r="R352" s="9" t="str">
        <f aca="false">IF(Q352="","",INT(Q352)+1)</f>
        <v/>
      </c>
      <c r="S352" s="10" t="str">
        <f aca="false">IF(OR(Q352="",D352&lt;&gt;""),"",MIN(4.75,ROUND((Q352-INT(Q352))*16,0)/4+1))</f>
        <v/>
      </c>
      <c r="T352" s="11" t="str">
        <f aca="false">IF(OR(E352="",N(P352)&lt;=0),"",E352*P352/240)</f>
        <v/>
      </c>
      <c r="U352" s="9" t="str">
        <f aca="false">IF(Q352="","",IF(MIN(MOD(Q352,32),32-MOD(Q352,32))&lt;=0.25,32,IF(MIN(MOD(Q352,16),16-MOD(Q352,16))&lt;=0.25,16,IF(MIN(MOD(Q352,8),8-MOD(Q352,8))&lt;=0.25,8,""))))</f>
        <v/>
      </c>
      <c r="V352" s="9" t="str">
        <f aca="false">IF(OR(Q352="",T352=""),"",IF(MIN(MOD((Q352+T352),32),32-MOD((Q352+T352),32))&lt;=0.25,32,IF(MIN(MOD((Q352+T352),16),16-MOD((Q352+T352),16))&lt;=0.25,16,IF(MIN(MOD((Q352+T352),8),8-MOD((Q352+T352),8))&lt;=0.25,8,""))))</f>
        <v/>
      </c>
    </row>
    <row r="353" customFormat="false" ht="15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9" t="str">
        <f aca="false">IF(A353="","",IFERROR(INDEX(Tracks!$E$2:$E$41,MATCH(A353,Tracks!$A$2:$A$41,0)),"?"))</f>
        <v/>
      </c>
      <c r="P353" s="9" t="str">
        <f aca="false">IF(A353="","",IFERROR(N(INDEX(Tracks!$F$2:$F$41,MATCH(A353,Tracks!$A$2:$A$41,0))),""))</f>
        <v/>
      </c>
      <c r="Q353" s="10" t="str">
        <f aca="false">IF(D353&lt;&gt;"",D353-1,IF(OR(A353="",C353="",N(P353)&lt;=0),"",(N(B353)*60+C353-IFERROR(N(INDEX(Tracks!$G$2:$G$41,MATCH(A353,Tracks!$A$2:$A$41,0))),0))*P353/240))</f>
        <v/>
      </c>
      <c r="R353" s="9" t="str">
        <f aca="false">IF(Q353="","",INT(Q353)+1)</f>
        <v/>
      </c>
      <c r="S353" s="10" t="str">
        <f aca="false">IF(OR(Q353="",D353&lt;&gt;""),"",MIN(4.75,ROUND((Q353-INT(Q353))*16,0)/4+1))</f>
        <v/>
      </c>
      <c r="T353" s="11" t="str">
        <f aca="false">IF(OR(E353="",N(P353)&lt;=0),"",E353*P353/240)</f>
        <v/>
      </c>
      <c r="U353" s="9" t="str">
        <f aca="false">IF(Q353="","",IF(MIN(MOD(Q353,32),32-MOD(Q353,32))&lt;=0.25,32,IF(MIN(MOD(Q353,16),16-MOD(Q353,16))&lt;=0.25,16,IF(MIN(MOD(Q353,8),8-MOD(Q353,8))&lt;=0.25,8,""))))</f>
        <v/>
      </c>
      <c r="V353" s="9" t="str">
        <f aca="false">IF(OR(Q353="",T353=""),"",IF(MIN(MOD((Q353+T353),32),32-MOD((Q353+T353),32))&lt;=0.25,32,IF(MIN(MOD((Q353+T353),16),16-MOD((Q353+T353),16))&lt;=0.25,16,IF(MIN(MOD((Q353+T353),8),8-MOD((Q353+T353),8))&lt;=0.25,8,""))))</f>
        <v/>
      </c>
    </row>
    <row r="354" customFormat="false" ht="15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9" t="str">
        <f aca="false">IF(A354="","",IFERROR(INDEX(Tracks!$E$2:$E$41,MATCH(A354,Tracks!$A$2:$A$41,0)),"?"))</f>
        <v/>
      </c>
      <c r="P354" s="9" t="str">
        <f aca="false">IF(A354="","",IFERROR(N(INDEX(Tracks!$F$2:$F$41,MATCH(A354,Tracks!$A$2:$A$41,0))),""))</f>
        <v/>
      </c>
      <c r="Q354" s="10" t="str">
        <f aca="false">IF(D354&lt;&gt;"",D354-1,IF(OR(A354="",C354="",N(P354)&lt;=0),"",(N(B354)*60+C354-IFERROR(N(INDEX(Tracks!$G$2:$G$41,MATCH(A354,Tracks!$A$2:$A$41,0))),0))*P354/240))</f>
        <v/>
      </c>
      <c r="R354" s="9" t="str">
        <f aca="false">IF(Q354="","",INT(Q354)+1)</f>
        <v/>
      </c>
      <c r="S354" s="10" t="str">
        <f aca="false">IF(OR(Q354="",D354&lt;&gt;""),"",MIN(4.75,ROUND((Q354-INT(Q354))*16,0)/4+1))</f>
        <v/>
      </c>
      <c r="T354" s="11" t="str">
        <f aca="false">IF(OR(E354="",N(P354)&lt;=0),"",E354*P354/240)</f>
        <v/>
      </c>
      <c r="U354" s="9" t="str">
        <f aca="false">IF(Q354="","",IF(MIN(MOD(Q354,32),32-MOD(Q354,32))&lt;=0.25,32,IF(MIN(MOD(Q354,16),16-MOD(Q354,16))&lt;=0.25,16,IF(MIN(MOD(Q354,8),8-MOD(Q354,8))&lt;=0.25,8,""))))</f>
        <v/>
      </c>
      <c r="V354" s="9" t="str">
        <f aca="false">IF(OR(Q354="",T354=""),"",IF(MIN(MOD((Q354+T354),32),32-MOD((Q354+T354),32))&lt;=0.25,32,IF(MIN(MOD((Q354+T354),16),16-MOD((Q354+T354),16))&lt;=0.25,16,IF(MIN(MOD((Q354+T354),8),8-MOD((Q354+T354),8))&lt;=0.25,8,""))))</f>
        <v/>
      </c>
    </row>
    <row r="355" customFormat="false" ht="15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9" t="str">
        <f aca="false">IF(A355="","",IFERROR(INDEX(Tracks!$E$2:$E$41,MATCH(A355,Tracks!$A$2:$A$41,0)),"?"))</f>
        <v/>
      </c>
      <c r="P355" s="9" t="str">
        <f aca="false">IF(A355="","",IFERROR(N(INDEX(Tracks!$F$2:$F$41,MATCH(A355,Tracks!$A$2:$A$41,0))),""))</f>
        <v/>
      </c>
      <c r="Q355" s="10" t="str">
        <f aca="false">IF(D355&lt;&gt;"",D355-1,IF(OR(A355="",C355="",N(P355)&lt;=0),"",(N(B355)*60+C355-IFERROR(N(INDEX(Tracks!$G$2:$G$41,MATCH(A355,Tracks!$A$2:$A$41,0))),0))*P355/240))</f>
        <v/>
      </c>
      <c r="R355" s="9" t="str">
        <f aca="false">IF(Q355="","",INT(Q355)+1)</f>
        <v/>
      </c>
      <c r="S355" s="10" t="str">
        <f aca="false">IF(OR(Q355="",D355&lt;&gt;""),"",MIN(4.75,ROUND((Q355-INT(Q355))*16,0)/4+1))</f>
        <v/>
      </c>
      <c r="T355" s="11" t="str">
        <f aca="false">IF(OR(E355="",N(P355)&lt;=0),"",E355*P355/240)</f>
        <v/>
      </c>
      <c r="U355" s="9" t="str">
        <f aca="false">IF(Q355="","",IF(MIN(MOD(Q355,32),32-MOD(Q355,32))&lt;=0.25,32,IF(MIN(MOD(Q355,16),16-MOD(Q355,16))&lt;=0.25,16,IF(MIN(MOD(Q355,8),8-MOD(Q355,8))&lt;=0.25,8,""))))</f>
        <v/>
      </c>
      <c r="V355" s="9" t="str">
        <f aca="false">IF(OR(Q355="",T355=""),"",IF(MIN(MOD((Q355+T355),32),32-MOD((Q355+T355),32))&lt;=0.25,32,IF(MIN(MOD((Q355+T355),16),16-MOD((Q355+T355),16))&lt;=0.25,16,IF(MIN(MOD((Q355+T355),8),8-MOD((Q355+T355),8))&lt;=0.25,8,""))))</f>
        <v/>
      </c>
    </row>
    <row r="356" customFormat="false" ht="15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9" t="str">
        <f aca="false">IF(A356="","",IFERROR(INDEX(Tracks!$E$2:$E$41,MATCH(A356,Tracks!$A$2:$A$41,0)),"?"))</f>
        <v/>
      </c>
      <c r="P356" s="9" t="str">
        <f aca="false">IF(A356="","",IFERROR(N(INDEX(Tracks!$F$2:$F$41,MATCH(A356,Tracks!$A$2:$A$41,0))),""))</f>
        <v/>
      </c>
      <c r="Q356" s="10" t="str">
        <f aca="false">IF(D356&lt;&gt;"",D356-1,IF(OR(A356="",C356="",N(P356)&lt;=0),"",(N(B356)*60+C356-IFERROR(N(INDEX(Tracks!$G$2:$G$41,MATCH(A356,Tracks!$A$2:$A$41,0))),0))*P356/240))</f>
        <v/>
      </c>
      <c r="R356" s="9" t="str">
        <f aca="false">IF(Q356="","",INT(Q356)+1)</f>
        <v/>
      </c>
      <c r="S356" s="10" t="str">
        <f aca="false">IF(OR(Q356="",D356&lt;&gt;""),"",MIN(4.75,ROUND((Q356-INT(Q356))*16,0)/4+1))</f>
        <v/>
      </c>
      <c r="T356" s="11" t="str">
        <f aca="false">IF(OR(E356="",N(P356)&lt;=0),"",E356*P356/240)</f>
        <v/>
      </c>
      <c r="U356" s="9" t="str">
        <f aca="false">IF(Q356="","",IF(MIN(MOD(Q356,32),32-MOD(Q356,32))&lt;=0.25,32,IF(MIN(MOD(Q356,16),16-MOD(Q356,16))&lt;=0.25,16,IF(MIN(MOD(Q356,8),8-MOD(Q356,8))&lt;=0.25,8,""))))</f>
        <v/>
      </c>
      <c r="V356" s="9" t="str">
        <f aca="false">IF(OR(Q356="",T356=""),"",IF(MIN(MOD((Q356+T356),32),32-MOD((Q356+T356),32))&lt;=0.25,32,IF(MIN(MOD((Q356+T356),16),16-MOD((Q356+T356),16))&lt;=0.25,16,IF(MIN(MOD((Q356+T356),8),8-MOD((Q356+T356),8))&lt;=0.25,8,""))))</f>
        <v/>
      </c>
    </row>
    <row r="357" customFormat="false" ht="15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9" t="str">
        <f aca="false">IF(A357="","",IFERROR(INDEX(Tracks!$E$2:$E$41,MATCH(A357,Tracks!$A$2:$A$41,0)),"?"))</f>
        <v/>
      </c>
      <c r="P357" s="9" t="str">
        <f aca="false">IF(A357="","",IFERROR(N(INDEX(Tracks!$F$2:$F$41,MATCH(A357,Tracks!$A$2:$A$41,0))),""))</f>
        <v/>
      </c>
      <c r="Q357" s="10" t="str">
        <f aca="false">IF(D357&lt;&gt;"",D357-1,IF(OR(A357="",C357="",N(P357)&lt;=0),"",(N(B357)*60+C357-IFERROR(N(INDEX(Tracks!$G$2:$G$41,MATCH(A357,Tracks!$A$2:$A$41,0))),0))*P357/240))</f>
        <v/>
      </c>
      <c r="R357" s="9" t="str">
        <f aca="false">IF(Q357="","",INT(Q357)+1)</f>
        <v/>
      </c>
      <c r="S357" s="10" t="str">
        <f aca="false">IF(OR(Q357="",D357&lt;&gt;""),"",MIN(4.75,ROUND((Q357-INT(Q357))*16,0)/4+1))</f>
        <v/>
      </c>
      <c r="T357" s="11" t="str">
        <f aca="false">IF(OR(E357="",N(P357)&lt;=0),"",E357*P357/240)</f>
        <v/>
      </c>
      <c r="U357" s="9" t="str">
        <f aca="false">IF(Q357="","",IF(MIN(MOD(Q357,32),32-MOD(Q357,32))&lt;=0.25,32,IF(MIN(MOD(Q357,16),16-MOD(Q357,16))&lt;=0.25,16,IF(MIN(MOD(Q357,8),8-MOD(Q357,8))&lt;=0.25,8,""))))</f>
        <v/>
      </c>
      <c r="V357" s="9" t="str">
        <f aca="false">IF(OR(Q357="",T357=""),"",IF(MIN(MOD((Q357+T357),32),32-MOD((Q357+T357),32))&lt;=0.25,32,IF(MIN(MOD((Q357+T357),16),16-MOD((Q357+T357),16))&lt;=0.25,16,IF(MIN(MOD((Q357+T357),8),8-MOD((Q357+T357),8))&lt;=0.25,8,""))))</f>
        <v/>
      </c>
    </row>
    <row r="358" customFormat="false" ht="15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9" t="str">
        <f aca="false">IF(A358="","",IFERROR(INDEX(Tracks!$E$2:$E$41,MATCH(A358,Tracks!$A$2:$A$41,0)),"?"))</f>
        <v/>
      </c>
      <c r="P358" s="9" t="str">
        <f aca="false">IF(A358="","",IFERROR(N(INDEX(Tracks!$F$2:$F$41,MATCH(A358,Tracks!$A$2:$A$41,0))),""))</f>
        <v/>
      </c>
      <c r="Q358" s="10" t="str">
        <f aca="false">IF(D358&lt;&gt;"",D358-1,IF(OR(A358="",C358="",N(P358)&lt;=0),"",(N(B358)*60+C358-IFERROR(N(INDEX(Tracks!$G$2:$G$41,MATCH(A358,Tracks!$A$2:$A$41,0))),0))*P358/240))</f>
        <v/>
      </c>
      <c r="R358" s="9" t="str">
        <f aca="false">IF(Q358="","",INT(Q358)+1)</f>
        <v/>
      </c>
      <c r="S358" s="10" t="str">
        <f aca="false">IF(OR(Q358="",D358&lt;&gt;""),"",MIN(4.75,ROUND((Q358-INT(Q358))*16,0)/4+1))</f>
        <v/>
      </c>
      <c r="T358" s="11" t="str">
        <f aca="false">IF(OR(E358="",N(P358)&lt;=0),"",E358*P358/240)</f>
        <v/>
      </c>
      <c r="U358" s="9" t="str">
        <f aca="false">IF(Q358="","",IF(MIN(MOD(Q358,32),32-MOD(Q358,32))&lt;=0.25,32,IF(MIN(MOD(Q358,16),16-MOD(Q358,16))&lt;=0.25,16,IF(MIN(MOD(Q358,8),8-MOD(Q358,8))&lt;=0.25,8,""))))</f>
        <v/>
      </c>
      <c r="V358" s="9" t="str">
        <f aca="false">IF(OR(Q358="",T358=""),"",IF(MIN(MOD((Q358+T358),32),32-MOD((Q358+T358),32))&lt;=0.25,32,IF(MIN(MOD((Q358+T358),16),16-MOD((Q358+T358),16))&lt;=0.25,16,IF(MIN(MOD((Q358+T358),8),8-MOD((Q358+T358),8))&lt;=0.25,8,""))))</f>
        <v/>
      </c>
    </row>
    <row r="359" customFormat="false" ht="15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9" t="str">
        <f aca="false">IF(A359="","",IFERROR(INDEX(Tracks!$E$2:$E$41,MATCH(A359,Tracks!$A$2:$A$41,0)),"?"))</f>
        <v/>
      </c>
      <c r="P359" s="9" t="str">
        <f aca="false">IF(A359="","",IFERROR(N(INDEX(Tracks!$F$2:$F$41,MATCH(A359,Tracks!$A$2:$A$41,0))),""))</f>
        <v/>
      </c>
      <c r="Q359" s="10" t="str">
        <f aca="false">IF(D359&lt;&gt;"",D359-1,IF(OR(A359="",C359="",N(P359)&lt;=0),"",(N(B359)*60+C359-IFERROR(N(INDEX(Tracks!$G$2:$G$41,MATCH(A359,Tracks!$A$2:$A$41,0))),0))*P359/240))</f>
        <v/>
      </c>
      <c r="R359" s="9" t="str">
        <f aca="false">IF(Q359="","",INT(Q359)+1)</f>
        <v/>
      </c>
      <c r="S359" s="10" t="str">
        <f aca="false">IF(OR(Q359="",D359&lt;&gt;""),"",MIN(4.75,ROUND((Q359-INT(Q359))*16,0)/4+1))</f>
        <v/>
      </c>
      <c r="T359" s="11" t="str">
        <f aca="false">IF(OR(E359="",N(P359)&lt;=0),"",E359*P359/240)</f>
        <v/>
      </c>
      <c r="U359" s="9" t="str">
        <f aca="false">IF(Q359="","",IF(MIN(MOD(Q359,32),32-MOD(Q359,32))&lt;=0.25,32,IF(MIN(MOD(Q359,16),16-MOD(Q359,16))&lt;=0.25,16,IF(MIN(MOD(Q359,8),8-MOD(Q359,8))&lt;=0.25,8,""))))</f>
        <v/>
      </c>
      <c r="V359" s="9" t="str">
        <f aca="false">IF(OR(Q359="",T359=""),"",IF(MIN(MOD((Q359+T359),32),32-MOD((Q359+T359),32))&lt;=0.25,32,IF(MIN(MOD((Q359+T359),16),16-MOD((Q359+T359),16))&lt;=0.25,16,IF(MIN(MOD((Q359+T359),8),8-MOD((Q359+T359),8))&lt;=0.25,8,""))))</f>
        <v/>
      </c>
    </row>
    <row r="360" customFormat="false" ht="15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9" t="str">
        <f aca="false">IF(A360="","",IFERROR(INDEX(Tracks!$E$2:$E$41,MATCH(A360,Tracks!$A$2:$A$41,0)),"?"))</f>
        <v/>
      </c>
      <c r="P360" s="9" t="str">
        <f aca="false">IF(A360="","",IFERROR(N(INDEX(Tracks!$F$2:$F$41,MATCH(A360,Tracks!$A$2:$A$41,0))),""))</f>
        <v/>
      </c>
      <c r="Q360" s="10" t="str">
        <f aca="false">IF(D360&lt;&gt;"",D360-1,IF(OR(A360="",C360="",N(P360)&lt;=0),"",(N(B360)*60+C360-IFERROR(N(INDEX(Tracks!$G$2:$G$41,MATCH(A360,Tracks!$A$2:$A$41,0))),0))*P360/240))</f>
        <v/>
      </c>
      <c r="R360" s="9" t="str">
        <f aca="false">IF(Q360="","",INT(Q360)+1)</f>
        <v/>
      </c>
      <c r="S360" s="10" t="str">
        <f aca="false">IF(OR(Q360="",D360&lt;&gt;""),"",MIN(4.75,ROUND((Q360-INT(Q360))*16,0)/4+1))</f>
        <v/>
      </c>
      <c r="T360" s="11" t="str">
        <f aca="false">IF(OR(E360="",N(P360)&lt;=0),"",E360*P360/240)</f>
        <v/>
      </c>
      <c r="U360" s="9" t="str">
        <f aca="false">IF(Q360="","",IF(MIN(MOD(Q360,32),32-MOD(Q360,32))&lt;=0.25,32,IF(MIN(MOD(Q360,16),16-MOD(Q360,16))&lt;=0.25,16,IF(MIN(MOD(Q360,8),8-MOD(Q360,8))&lt;=0.25,8,""))))</f>
        <v/>
      </c>
      <c r="V360" s="9" t="str">
        <f aca="false">IF(OR(Q360="",T360=""),"",IF(MIN(MOD((Q360+T360),32),32-MOD((Q360+T360),32))&lt;=0.25,32,IF(MIN(MOD((Q360+T360),16),16-MOD((Q360+T360),16))&lt;=0.25,16,IF(MIN(MOD((Q360+T360),8),8-MOD((Q360+T360),8))&lt;=0.25,8,""))))</f>
        <v/>
      </c>
    </row>
    <row r="361" customFormat="false" ht="15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9" t="str">
        <f aca="false">IF(A361="","",IFERROR(INDEX(Tracks!$E$2:$E$41,MATCH(A361,Tracks!$A$2:$A$41,0)),"?"))</f>
        <v/>
      </c>
      <c r="P361" s="9" t="str">
        <f aca="false">IF(A361="","",IFERROR(N(INDEX(Tracks!$F$2:$F$41,MATCH(A361,Tracks!$A$2:$A$41,0))),""))</f>
        <v/>
      </c>
      <c r="Q361" s="10" t="str">
        <f aca="false">IF(D361&lt;&gt;"",D361-1,IF(OR(A361="",C361="",N(P361)&lt;=0),"",(N(B361)*60+C361-IFERROR(N(INDEX(Tracks!$G$2:$G$41,MATCH(A361,Tracks!$A$2:$A$41,0))),0))*P361/240))</f>
        <v/>
      </c>
      <c r="R361" s="9" t="str">
        <f aca="false">IF(Q361="","",INT(Q361)+1)</f>
        <v/>
      </c>
      <c r="S361" s="10" t="str">
        <f aca="false">IF(OR(Q361="",D361&lt;&gt;""),"",MIN(4.75,ROUND((Q361-INT(Q361))*16,0)/4+1))</f>
        <v/>
      </c>
      <c r="T361" s="11" t="str">
        <f aca="false">IF(OR(E361="",N(P361)&lt;=0),"",E361*P361/240)</f>
        <v/>
      </c>
      <c r="U361" s="9" t="str">
        <f aca="false">IF(Q361="","",IF(MIN(MOD(Q361,32),32-MOD(Q361,32))&lt;=0.25,32,IF(MIN(MOD(Q361,16),16-MOD(Q361,16))&lt;=0.25,16,IF(MIN(MOD(Q361,8),8-MOD(Q361,8))&lt;=0.25,8,""))))</f>
        <v/>
      </c>
      <c r="V361" s="9" t="str">
        <f aca="false">IF(OR(Q361="",T361=""),"",IF(MIN(MOD((Q361+T361),32),32-MOD((Q361+T361),32))&lt;=0.25,32,IF(MIN(MOD((Q361+T361),16),16-MOD((Q361+T361),16))&lt;=0.25,16,IF(MIN(MOD((Q361+T361),8),8-MOD((Q361+T361),8))&lt;=0.25,8,""))))</f>
        <v/>
      </c>
    </row>
    <row r="362" customFormat="false" ht="15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9" t="str">
        <f aca="false">IF(A362="","",IFERROR(INDEX(Tracks!$E$2:$E$41,MATCH(A362,Tracks!$A$2:$A$41,0)),"?"))</f>
        <v/>
      </c>
      <c r="P362" s="9" t="str">
        <f aca="false">IF(A362="","",IFERROR(N(INDEX(Tracks!$F$2:$F$41,MATCH(A362,Tracks!$A$2:$A$41,0))),""))</f>
        <v/>
      </c>
      <c r="Q362" s="10" t="str">
        <f aca="false">IF(D362&lt;&gt;"",D362-1,IF(OR(A362="",C362="",N(P362)&lt;=0),"",(N(B362)*60+C362-IFERROR(N(INDEX(Tracks!$G$2:$G$41,MATCH(A362,Tracks!$A$2:$A$41,0))),0))*P362/240))</f>
        <v/>
      </c>
      <c r="R362" s="9" t="str">
        <f aca="false">IF(Q362="","",INT(Q362)+1)</f>
        <v/>
      </c>
      <c r="S362" s="10" t="str">
        <f aca="false">IF(OR(Q362="",D362&lt;&gt;""),"",MIN(4.75,ROUND((Q362-INT(Q362))*16,0)/4+1))</f>
        <v/>
      </c>
      <c r="T362" s="11" t="str">
        <f aca="false">IF(OR(E362="",N(P362)&lt;=0),"",E362*P362/240)</f>
        <v/>
      </c>
      <c r="U362" s="9" t="str">
        <f aca="false">IF(Q362="","",IF(MIN(MOD(Q362,32),32-MOD(Q362,32))&lt;=0.25,32,IF(MIN(MOD(Q362,16),16-MOD(Q362,16))&lt;=0.25,16,IF(MIN(MOD(Q362,8),8-MOD(Q362,8))&lt;=0.25,8,""))))</f>
        <v/>
      </c>
      <c r="V362" s="9" t="str">
        <f aca="false">IF(OR(Q362="",T362=""),"",IF(MIN(MOD((Q362+T362),32),32-MOD((Q362+T362),32))&lt;=0.25,32,IF(MIN(MOD((Q362+T362),16),16-MOD((Q362+T362),16))&lt;=0.25,16,IF(MIN(MOD((Q362+T362),8),8-MOD((Q362+T362),8))&lt;=0.25,8,""))))</f>
        <v/>
      </c>
    </row>
    <row r="363" customFormat="false" ht="15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9" t="str">
        <f aca="false">IF(A363="","",IFERROR(INDEX(Tracks!$E$2:$E$41,MATCH(A363,Tracks!$A$2:$A$41,0)),"?"))</f>
        <v/>
      </c>
      <c r="P363" s="9" t="str">
        <f aca="false">IF(A363="","",IFERROR(N(INDEX(Tracks!$F$2:$F$41,MATCH(A363,Tracks!$A$2:$A$41,0))),""))</f>
        <v/>
      </c>
      <c r="Q363" s="10" t="str">
        <f aca="false">IF(D363&lt;&gt;"",D363-1,IF(OR(A363="",C363="",N(P363)&lt;=0),"",(N(B363)*60+C363-IFERROR(N(INDEX(Tracks!$G$2:$G$41,MATCH(A363,Tracks!$A$2:$A$41,0))),0))*P363/240))</f>
        <v/>
      </c>
      <c r="R363" s="9" t="str">
        <f aca="false">IF(Q363="","",INT(Q363)+1)</f>
        <v/>
      </c>
      <c r="S363" s="10" t="str">
        <f aca="false">IF(OR(Q363="",D363&lt;&gt;""),"",MIN(4.75,ROUND((Q363-INT(Q363))*16,0)/4+1))</f>
        <v/>
      </c>
      <c r="T363" s="11" t="str">
        <f aca="false">IF(OR(E363="",N(P363)&lt;=0),"",E363*P363/240)</f>
        <v/>
      </c>
      <c r="U363" s="9" t="str">
        <f aca="false">IF(Q363="","",IF(MIN(MOD(Q363,32),32-MOD(Q363,32))&lt;=0.25,32,IF(MIN(MOD(Q363,16),16-MOD(Q363,16))&lt;=0.25,16,IF(MIN(MOD(Q363,8),8-MOD(Q363,8))&lt;=0.25,8,""))))</f>
        <v/>
      </c>
      <c r="V363" s="9" t="str">
        <f aca="false">IF(OR(Q363="",T363=""),"",IF(MIN(MOD((Q363+T363),32),32-MOD((Q363+T363),32))&lt;=0.25,32,IF(MIN(MOD((Q363+T363),16),16-MOD((Q363+T363),16))&lt;=0.25,16,IF(MIN(MOD((Q363+T363),8),8-MOD((Q363+T363),8))&lt;=0.25,8,""))))</f>
        <v/>
      </c>
    </row>
    <row r="364" customFormat="false" ht="15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9" t="str">
        <f aca="false">IF(A364="","",IFERROR(INDEX(Tracks!$E$2:$E$41,MATCH(A364,Tracks!$A$2:$A$41,0)),"?"))</f>
        <v/>
      </c>
      <c r="P364" s="9" t="str">
        <f aca="false">IF(A364="","",IFERROR(N(INDEX(Tracks!$F$2:$F$41,MATCH(A364,Tracks!$A$2:$A$41,0))),""))</f>
        <v/>
      </c>
      <c r="Q364" s="10" t="str">
        <f aca="false">IF(D364&lt;&gt;"",D364-1,IF(OR(A364="",C364="",N(P364)&lt;=0),"",(N(B364)*60+C364-IFERROR(N(INDEX(Tracks!$G$2:$G$41,MATCH(A364,Tracks!$A$2:$A$41,0))),0))*P364/240))</f>
        <v/>
      </c>
      <c r="R364" s="9" t="str">
        <f aca="false">IF(Q364="","",INT(Q364)+1)</f>
        <v/>
      </c>
      <c r="S364" s="10" t="str">
        <f aca="false">IF(OR(Q364="",D364&lt;&gt;""),"",MIN(4.75,ROUND((Q364-INT(Q364))*16,0)/4+1))</f>
        <v/>
      </c>
      <c r="T364" s="11" t="str">
        <f aca="false">IF(OR(E364="",N(P364)&lt;=0),"",E364*P364/240)</f>
        <v/>
      </c>
      <c r="U364" s="9" t="str">
        <f aca="false">IF(Q364="","",IF(MIN(MOD(Q364,32),32-MOD(Q364,32))&lt;=0.25,32,IF(MIN(MOD(Q364,16),16-MOD(Q364,16))&lt;=0.25,16,IF(MIN(MOD(Q364,8),8-MOD(Q364,8))&lt;=0.25,8,""))))</f>
        <v/>
      </c>
      <c r="V364" s="9" t="str">
        <f aca="false">IF(OR(Q364="",T364=""),"",IF(MIN(MOD((Q364+T364),32),32-MOD((Q364+T364),32))&lt;=0.25,32,IF(MIN(MOD((Q364+T364),16),16-MOD((Q364+T364),16))&lt;=0.25,16,IF(MIN(MOD((Q364+T364),8),8-MOD((Q364+T364),8))&lt;=0.25,8,""))))</f>
        <v/>
      </c>
    </row>
    <row r="365" customFormat="false" ht="15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9" t="str">
        <f aca="false">IF(A365="","",IFERROR(INDEX(Tracks!$E$2:$E$41,MATCH(A365,Tracks!$A$2:$A$41,0)),"?"))</f>
        <v/>
      </c>
      <c r="P365" s="9" t="str">
        <f aca="false">IF(A365="","",IFERROR(N(INDEX(Tracks!$F$2:$F$41,MATCH(A365,Tracks!$A$2:$A$41,0))),""))</f>
        <v/>
      </c>
      <c r="Q365" s="10" t="str">
        <f aca="false">IF(D365&lt;&gt;"",D365-1,IF(OR(A365="",C365="",N(P365)&lt;=0),"",(N(B365)*60+C365-IFERROR(N(INDEX(Tracks!$G$2:$G$41,MATCH(A365,Tracks!$A$2:$A$41,0))),0))*P365/240))</f>
        <v/>
      </c>
      <c r="R365" s="9" t="str">
        <f aca="false">IF(Q365="","",INT(Q365)+1)</f>
        <v/>
      </c>
      <c r="S365" s="10" t="str">
        <f aca="false">IF(OR(Q365="",D365&lt;&gt;""),"",MIN(4.75,ROUND((Q365-INT(Q365))*16,0)/4+1))</f>
        <v/>
      </c>
      <c r="T365" s="11" t="str">
        <f aca="false">IF(OR(E365="",N(P365)&lt;=0),"",E365*P365/240)</f>
        <v/>
      </c>
      <c r="U365" s="9" t="str">
        <f aca="false">IF(Q365="","",IF(MIN(MOD(Q365,32),32-MOD(Q365,32))&lt;=0.25,32,IF(MIN(MOD(Q365,16),16-MOD(Q365,16))&lt;=0.25,16,IF(MIN(MOD(Q365,8),8-MOD(Q365,8))&lt;=0.25,8,""))))</f>
        <v/>
      </c>
      <c r="V365" s="9" t="str">
        <f aca="false">IF(OR(Q365="",T365=""),"",IF(MIN(MOD((Q365+T365),32),32-MOD((Q365+T365),32))&lt;=0.25,32,IF(MIN(MOD((Q365+T365),16),16-MOD((Q365+T365),16))&lt;=0.25,16,IF(MIN(MOD((Q365+T365),8),8-MOD((Q365+T365),8))&lt;=0.25,8,""))))</f>
        <v/>
      </c>
    </row>
    <row r="366" customFormat="false" ht="15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9" t="str">
        <f aca="false">IF(A366="","",IFERROR(INDEX(Tracks!$E$2:$E$41,MATCH(A366,Tracks!$A$2:$A$41,0)),"?"))</f>
        <v/>
      </c>
      <c r="P366" s="9" t="str">
        <f aca="false">IF(A366="","",IFERROR(N(INDEX(Tracks!$F$2:$F$41,MATCH(A366,Tracks!$A$2:$A$41,0))),""))</f>
        <v/>
      </c>
      <c r="Q366" s="10" t="str">
        <f aca="false">IF(D366&lt;&gt;"",D366-1,IF(OR(A366="",C366="",N(P366)&lt;=0),"",(N(B366)*60+C366-IFERROR(N(INDEX(Tracks!$G$2:$G$41,MATCH(A366,Tracks!$A$2:$A$41,0))),0))*P366/240))</f>
        <v/>
      </c>
      <c r="R366" s="9" t="str">
        <f aca="false">IF(Q366="","",INT(Q366)+1)</f>
        <v/>
      </c>
      <c r="S366" s="10" t="str">
        <f aca="false">IF(OR(Q366="",D366&lt;&gt;""),"",MIN(4.75,ROUND((Q366-INT(Q366))*16,0)/4+1))</f>
        <v/>
      </c>
      <c r="T366" s="11" t="str">
        <f aca="false">IF(OR(E366="",N(P366)&lt;=0),"",E366*P366/240)</f>
        <v/>
      </c>
      <c r="U366" s="9" t="str">
        <f aca="false">IF(Q366="","",IF(MIN(MOD(Q366,32),32-MOD(Q366,32))&lt;=0.25,32,IF(MIN(MOD(Q366,16),16-MOD(Q366,16))&lt;=0.25,16,IF(MIN(MOD(Q366,8),8-MOD(Q366,8))&lt;=0.25,8,""))))</f>
        <v/>
      </c>
      <c r="V366" s="9" t="str">
        <f aca="false">IF(OR(Q366="",T366=""),"",IF(MIN(MOD((Q366+T366),32),32-MOD((Q366+T366),32))&lt;=0.25,32,IF(MIN(MOD((Q366+T366),16),16-MOD((Q366+T366),16))&lt;=0.25,16,IF(MIN(MOD((Q366+T366),8),8-MOD((Q366+T366),8))&lt;=0.25,8,""))))</f>
        <v/>
      </c>
    </row>
    <row r="367" customFormat="false" ht="15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9" t="str">
        <f aca="false">IF(A367="","",IFERROR(INDEX(Tracks!$E$2:$E$41,MATCH(A367,Tracks!$A$2:$A$41,0)),"?"))</f>
        <v/>
      </c>
      <c r="P367" s="9" t="str">
        <f aca="false">IF(A367="","",IFERROR(N(INDEX(Tracks!$F$2:$F$41,MATCH(A367,Tracks!$A$2:$A$41,0))),""))</f>
        <v/>
      </c>
      <c r="Q367" s="10" t="str">
        <f aca="false">IF(D367&lt;&gt;"",D367-1,IF(OR(A367="",C367="",N(P367)&lt;=0),"",(N(B367)*60+C367-IFERROR(N(INDEX(Tracks!$G$2:$G$41,MATCH(A367,Tracks!$A$2:$A$41,0))),0))*P367/240))</f>
        <v/>
      </c>
      <c r="R367" s="9" t="str">
        <f aca="false">IF(Q367="","",INT(Q367)+1)</f>
        <v/>
      </c>
      <c r="S367" s="10" t="str">
        <f aca="false">IF(OR(Q367="",D367&lt;&gt;""),"",MIN(4.75,ROUND((Q367-INT(Q367))*16,0)/4+1))</f>
        <v/>
      </c>
      <c r="T367" s="11" t="str">
        <f aca="false">IF(OR(E367="",N(P367)&lt;=0),"",E367*P367/240)</f>
        <v/>
      </c>
      <c r="U367" s="9" t="str">
        <f aca="false">IF(Q367="","",IF(MIN(MOD(Q367,32),32-MOD(Q367,32))&lt;=0.25,32,IF(MIN(MOD(Q367,16),16-MOD(Q367,16))&lt;=0.25,16,IF(MIN(MOD(Q367,8),8-MOD(Q367,8))&lt;=0.25,8,""))))</f>
        <v/>
      </c>
      <c r="V367" s="9" t="str">
        <f aca="false">IF(OR(Q367="",T367=""),"",IF(MIN(MOD((Q367+T367),32),32-MOD((Q367+T367),32))&lt;=0.25,32,IF(MIN(MOD((Q367+T367),16),16-MOD((Q367+T367),16))&lt;=0.25,16,IF(MIN(MOD((Q367+T367),8),8-MOD((Q367+T367),8))&lt;=0.25,8,""))))</f>
        <v/>
      </c>
    </row>
    <row r="368" customFormat="false" ht="15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9" t="str">
        <f aca="false">IF(A368="","",IFERROR(INDEX(Tracks!$E$2:$E$41,MATCH(A368,Tracks!$A$2:$A$41,0)),"?"))</f>
        <v/>
      </c>
      <c r="P368" s="9" t="str">
        <f aca="false">IF(A368="","",IFERROR(N(INDEX(Tracks!$F$2:$F$41,MATCH(A368,Tracks!$A$2:$A$41,0))),""))</f>
        <v/>
      </c>
      <c r="Q368" s="10" t="str">
        <f aca="false">IF(D368&lt;&gt;"",D368-1,IF(OR(A368="",C368="",N(P368)&lt;=0),"",(N(B368)*60+C368-IFERROR(N(INDEX(Tracks!$G$2:$G$41,MATCH(A368,Tracks!$A$2:$A$41,0))),0))*P368/240))</f>
        <v/>
      </c>
      <c r="R368" s="9" t="str">
        <f aca="false">IF(Q368="","",INT(Q368)+1)</f>
        <v/>
      </c>
      <c r="S368" s="10" t="str">
        <f aca="false">IF(OR(Q368="",D368&lt;&gt;""),"",MIN(4.75,ROUND((Q368-INT(Q368))*16,0)/4+1))</f>
        <v/>
      </c>
      <c r="T368" s="11" t="str">
        <f aca="false">IF(OR(E368="",N(P368)&lt;=0),"",E368*P368/240)</f>
        <v/>
      </c>
      <c r="U368" s="9" t="str">
        <f aca="false">IF(Q368="","",IF(MIN(MOD(Q368,32),32-MOD(Q368,32))&lt;=0.25,32,IF(MIN(MOD(Q368,16),16-MOD(Q368,16))&lt;=0.25,16,IF(MIN(MOD(Q368,8),8-MOD(Q368,8))&lt;=0.25,8,""))))</f>
        <v/>
      </c>
      <c r="V368" s="9" t="str">
        <f aca="false">IF(OR(Q368="",T368=""),"",IF(MIN(MOD((Q368+T368),32),32-MOD((Q368+T368),32))&lt;=0.25,32,IF(MIN(MOD((Q368+T368),16),16-MOD((Q368+T368),16))&lt;=0.25,16,IF(MIN(MOD((Q368+T368),8),8-MOD((Q368+T368),8))&lt;=0.25,8,""))))</f>
        <v/>
      </c>
    </row>
    <row r="369" customFormat="false" ht="15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9" t="str">
        <f aca="false">IF(A369="","",IFERROR(INDEX(Tracks!$E$2:$E$41,MATCH(A369,Tracks!$A$2:$A$41,0)),"?"))</f>
        <v/>
      </c>
      <c r="P369" s="9" t="str">
        <f aca="false">IF(A369="","",IFERROR(N(INDEX(Tracks!$F$2:$F$41,MATCH(A369,Tracks!$A$2:$A$41,0))),""))</f>
        <v/>
      </c>
      <c r="Q369" s="10" t="str">
        <f aca="false">IF(D369&lt;&gt;"",D369-1,IF(OR(A369="",C369="",N(P369)&lt;=0),"",(N(B369)*60+C369-IFERROR(N(INDEX(Tracks!$G$2:$G$41,MATCH(A369,Tracks!$A$2:$A$41,0))),0))*P369/240))</f>
        <v/>
      </c>
      <c r="R369" s="9" t="str">
        <f aca="false">IF(Q369="","",INT(Q369)+1)</f>
        <v/>
      </c>
      <c r="S369" s="10" t="str">
        <f aca="false">IF(OR(Q369="",D369&lt;&gt;""),"",MIN(4.75,ROUND((Q369-INT(Q369))*16,0)/4+1))</f>
        <v/>
      </c>
      <c r="T369" s="11" t="str">
        <f aca="false">IF(OR(E369="",N(P369)&lt;=0),"",E369*P369/240)</f>
        <v/>
      </c>
      <c r="U369" s="9" t="str">
        <f aca="false">IF(Q369="","",IF(MIN(MOD(Q369,32),32-MOD(Q369,32))&lt;=0.25,32,IF(MIN(MOD(Q369,16),16-MOD(Q369,16))&lt;=0.25,16,IF(MIN(MOD(Q369,8),8-MOD(Q369,8))&lt;=0.25,8,""))))</f>
        <v/>
      </c>
      <c r="V369" s="9" t="str">
        <f aca="false">IF(OR(Q369="",T369=""),"",IF(MIN(MOD((Q369+T369),32),32-MOD((Q369+T369),32))&lt;=0.25,32,IF(MIN(MOD((Q369+T369),16),16-MOD((Q369+T369),16))&lt;=0.25,16,IF(MIN(MOD((Q369+T369),8),8-MOD((Q369+T369),8))&lt;=0.25,8,""))))</f>
        <v/>
      </c>
    </row>
    <row r="370" customFormat="false" ht="15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9" t="str">
        <f aca="false">IF(A370="","",IFERROR(INDEX(Tracks!$E$2:$E$41,MATCH(A370,Tracks!$A$2:$A$41,0)),"?"))</f>
        <v/>
      </c>
      <c r="P370" s="9" t="str">
        <f aca="false">IF(A370="","",IFERROR(N(INDEX(Tracks!$F$2:$F$41,MATCH(A370,Tracks!$A$2:$A$41,0))),""))</f>
        <v/>
      </c>
      <c r="Q370" s="10" t="str">
        <f aca="false">IF(D370&lt;&gt;"",D370-1,IF(OR(A370="",C370="",N(P370)&lt;=0),"",(N(B370)*60+C370-IFERROR(N(INDEX(Tracks!$G$2:$G$41,MATCH(A370,Tracks!$A$2:$A$41,0))),0))*P370/240))</f>
        <v/>
      </c>
      <c r="R370" s="9" t="str">
        <f aca="false">IF(Q370="","",INT(Q370)+1)</f>
        <v/>
      </c>
      <c r="S370" s="10" t="str">
        <f aca="false">IF(OR(Q370="",D370&lt;&gt;""),"",MIN(4.75,ROUND((Q370-INT(Q370))*16,0)/4+1))</f>
        <v/>
      </c>
      <c r="T370" s="11" t="str">
        <f aca="false">IF(OR(E370="",N(P370)&lt;=0),"",E370*P370/240)</f>
        <v/>
      </c>
      <c r="U370" s="9" t="str">
        <f aca="false">IF(Q370="","",IF(MIN(MOD(Q370,32),32-MOD(Q370,32))&lt;=0.25,32,IF(MIN(MOD(Q370,16),16-MOD(Q370,16))&lt;=0.25,16,IF(MIN(MOD(Q370,8),8-MOD(Q370,8))&lt;=0.25,8,""))))</f>
        <v/>
      </c>
      <c r="V370" s="9" t="str">
        <f aca="false">IF(OR(Q370="",T370=""),"",IF(MIN(MOD((Q370+T370),32),32-MOD((Q370+T370),32))&lt;=0.25,32,IF(MIN(MOD((Q370+T370),16),16-MOD((Q370+T370),16))&lt;=0.25,16,IF(MIN(MOD((Q370+T370),8),8-MOD((Q370+T370),8))&lt;=0.25,8,""))))</f>
        <v/>
      </c>
    </row>
    <row r="371" customFormat="false" ht="15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9" t="str">
        <f aca="false">IF(A371="","",IFERROR(INDEX(Tracks!$E$2:$E$41,MATCH(A371,Tracks!$A$2:$A$41,0)),"?"))</f>
        <v/>
      </c>
      <c r="P371" s="9" t="str">
        <f aca="false">IF(A371="","",IFERROR(N(INDEX(Tracks!$F$2:$F$41,MATCH(A371,Tracks!$A$2:$A$41,0))),""))</f>
        <v/>
      </c>
      <c r="Q371" s="10" t="str">
        <f aca="false">IF(D371&lt;&gt;"",D371-1,IF(OR(A371="",C371="",N(P371)&lt;=0),"",(N(B371)*60+C371-IFERROR(N(INDEX(Tracks!$G$2:$G$41,MATCH(A371,Tracks!$A$2:$A$41,0))),0))*P371/240))</f>
        <v/>
      </c>
      <c r="R371" s="9" t="str">
        <f aca="false">IF(Q371="","",INT(Q371)+1)</f>
        <v/>
      </c>
      <c r="S371" s="10" t="str">
        <f aca="false">IF(OR(Q371="",D371&lt;&gt;""),"",MIN(4.75,ROUND((Q371-INT(Q371))*16,0)/4+1))</f>
        <v/>
      </c>
      <c r="T371" s="11" t="str">
        <f aca="false">IF(OR(E371="",N(P371)&lt;=0),"",E371*P371/240)</f>
        <v/>
      </c>
      <c r="U371" s="9" t="str">
        <f aca="false">IF(Q371="","",IF(MIN(MOD(Q371,32),32-MOD(Q371,32))&lt;=0.25,32,IF(MIN(MOD(Q371,16),16-MOD(Q371,16))&lt;=0.25,16,IF(MIN(MOD(Q371,8),8-MOD(Q371,8))&lt;=0.25,8,""))))</f>
        <v/>
      </c>
      <c r="V371" s="9" t="str">
        <f aca="false">IF(OR(Q371="",T371=""),"",IF(MIN(MOD((Q371+T371),32),32-MOD((Q371+T371),32))&lt;=0.25,32,IF(MIN(MOD((Q371+T371),16),16-MOD((Q371+T371),16))&lt;=0.25,16,IF(MIN(MOD((Q371+T371),8),8-MOD((Q371+T371),8))&lt;=0.25,8,""))))</f>
        <v/>
      </c>
    </row>
    <row r="372" customFormat="false" ht="15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9" t="str">
        <f aca="false">IF(A372="","",IFERROR(INDEX(Tracks!$E$2:$E$41,MATCH(A372,Tracks!$A$2:$A$41,0)),"?"))</f>
        <v/>
      </c>
      <c r="P372" s="9" t="str">
        <f aca="false">IF(A372="","",IFERROR(N(INDEX(Tracks!$F$2:$F$41,MATCH(A372,Tracks!$A$2:$A$41,0))),""))</f>
        <v/>
      </c>
      <c r="Q372" s="10" t="str">
        <f aca="false">IF(D372&lt;&gt;"",D372-1,IF(OR(A372="",C372="",N(P372)&lt;=0),"",(N(B372)*60+C372-IFERROR(N(INDEX(Tracks!$G$2:$G$41,MATCH(A372,Tracks!$A$2:$A$41,0))),0))*P372/240))</f>
        <v/>
      </c>
      <c r="R372" s="9" t="str">
        <f aca="false">IF(Q372="","",INT(Q372)+1)</f>
        <v/>
      </c>
      <c r="S372" s="10" t="str">
        <f aca="false">IF(OR(Q372="",D372&lt;&gt;""),"",MIN(4.75,ROUND((Q372-INT(Q372))*16,0)/4+1))</f>
        <v/>
      </c>
      <c r="T372" s="11" t="str">
        <f aca="false">IF(OR(E372="",N(P372)&lt;=0),"",E372*P372/240)</f>
        <v/>
      </c>
      <c r="U372" s="9" t="str">
        <f aca="false">IF(Q372="","",IF(MIN(MOD(Q372,32),32-MOD(Q372,32))&lt;=0.25,32,IF(MIN(MOD(Q372,16),16-MOD(Q372,16))&lt;=0.25,16,IF(MIN(MOD(Q372,8),8-MOD(Q372,8))&lt;=0.25,8,""))))</f>
        <v/>
      </c>
      <c r="V372" s="9" t="str">
        <f aca="false">IF(OR(Q372="",T372=""),"",IF(MIN(MOD((Q372+T372),32),32-MOD((Q372+T372),32))&lt;=0.25,32,IF(MIN(MOD((Q372+T372),16),16-MOD((Q372+T372),16))&lt;=0.25,16,IF(MIN(MOD((Q372+T372),8),8-MOD((Q372+T372),8))&lt;=0.25,8,""))))</f>
        <v/>
      </c>
    </row>
    <row r="373" customFormat="false" ht="15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9" t="str">
        <f aca="false">IF(A373="","",IFERROR(INDEX(Tracks!$E$2:$E$41,MATCH(A373,Tracks!$A$2:$A$41,0)),"?"))</f>
        <v/>
      </c>
      <c r="P373" s="9" t="str">
        <f aca="false">IF(A373="","",IFERROR(N(INDEX(Tracks!$F$2:$F$41,MATCH(A373,Tracks!$A$2:$A$41,0))),""))</f>
        <v/>
      </c>
      <c r="Q373" s="10" t="str">
        <f aca="false">IF(D373&lt;&gt;"",D373-1,IF(OR(A373="",C373="",N(P373)&lt;=0),"",(N(B373)*60+C373-IFERROR(N(INDEX(Tracks!$G$2:$G$41,MATCH(A373,Tracks!$A$2:$A$41,0))),0))*P373/240))</f>
        <v/>
      </c>
      <c r="R373" s="9" t="str">
        <f aca="false">IF(Q373="","",INT(Q373)+1)</f>
        <v/>
      </c>
      <c r="S373" s="10" t="str">
        <f aca="false">IF(OR(Q373="",D373&lt;&gt;""),"",MIN(4.75,ROUND((Q373-INT(Q373))*16,0)/4+1))</f>
        <v/>
      </c>
      <c r="T373" s="11" t="str">
        <f aca="false">IF(OR(E373="",N(P373)&lt;=0),"",E373*P373/240)</f>
        <v/>
      </c>
      <c r="U373" s="9" t="str">
        <f aca="false">IF(Q373="","",IF(MIN(MOD(Q373,32),32-MOD(Q373,32))&lt;=0.25,32,IF(MIN(MOD(Q373,16),16-MOD(Q373,16))&lt;=0.25,16,IF(MIN(MOD(Q373,8),8-MOD(Q373,8))&lt;=0.25,8,""))))</f>
        <v/>
      </c>
      <c r="V373" s="9" t="str">
        <f aca="false">IF(OR(Q373="",T373=""),"",IF(MIN(MOD((Q373+T373),32),32-MOD((Q373+T373),32))&lt;=0.25,32,IF(MIN(MOD((Q373+T373),16),16-MOD((Q373+T373),16))&lt;=0.25,16,IF(MIN(MOD((Q373+T373),8),8-MOD((Q373+T373),8))&lt;=0.25,8,""))))</f>
        <v/>
      </c>
    </row>
    <row r="374" customFormat="false" ht="15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9" t="str">
        <f aca="false">IF(A374="","",IFERROR(INDEX(Tracks!$E$2:$E$41,MATCH(A374,Tracks!$A$2:$A$41,0)),"?"))</f>
        <v/>
      </c>
      <c r="P374" s="9" t="str">
        <f aca="false">IF(A374="","",IFERROR(N(INDEX(Tracks!$F$2:$F$41,MATCH(A374,Tracks!$A$2:$A$41,0))),""))</f>
        <v/>
      </c>
      <c r="Q374" s="10" t="str">
        <f aca="false">IF(D374&lt;&gt;"",D374-1,IF(OR(A374="",C374="",N(P374)&lt;=0),"",(N(B374)*60+C374-IFERROR(N(INDEX(Tracks!$G$2:$G$41,MATCH(A374,Tracks!$A$2:$A$41,0))),0))*P374/240))</f>
        <v/>
      </c>
      <c r="R374" s="9" t="str">
        <f aca="false">IF(Q374="","",INT(Q374)+1)</f>
        <v/>
      </c>
      <c r="S374" s="10" t="str">
        <f aca="false">IF(OR(Q374="",D374&lt;&gt;""),"",MIN(4.75,ROUND((Q374-INT(Q374))*16,0)/4+1))</f>
        <v/>
      </c>
      <c r="T374" s="11" t="str">
        <f aca="false">IF(OR(E374="",N(P374)&lt;=0),"",E374*P374/240)</f>
        <v/>
      </c>
      <c r="U374" s="9" t="str">
        <f aca="false">IF(Q374="","",IF(MIN(MOD(Q374,32),32-MOD(Q374,32))&lt;=0.25,32,IF(MIN(MOD(Q374,16),16-MOD(Q374,16))&lt;=0.25,16,IF(MIN(MOD(Q374,8),8-MOD(Q374,8))&lt;=0.25,8,""))))</f>
        <v/>
      </c>
      <c r="V374" s="9" t="str">
        <f aca="false">IF(OR(Q374="",T374=""),"",IF(MIN(MOD((Q374+T374),32),32-MOD((Q374+T374),32))&lt;=0.25,32,IF(MIN(MOD((Q374+T374),16),16-MOD((Q374+T374),16))&lt;=0.25,16,IF(MIN(MOD((Q374+T374),8),8-MOD((Q374+T374),8))&lt;=0.25,8,""))))</f>
        <v/>
      </c>
    </row>
    <row r="375" customFormat="false" ht="15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9" t="str">
        <f aca="false">IF(A375="","",IFERROR(INDEX(Tracks!$E$2:$E$41,MATCH(A375,Tracks!$A$2:$A$41,0)),"?"))</f>
        <v/>
      </c>
      <c r="P375" s="9" t="str">
        <f aca="false">IF(A375="","",IFERROR(N(INDEX(Tracks!$F$2:$F$41,MATCH(A375,Tracks!$A$2:$A$41,0))),""))</f>
        <v/>
      </c>
      <c r="Q375" s="10" t="str">
        <f aca="false">IF(D375&lt;&gt;"",D375-1,IF(OR(A375="",C375="",N(P375)&lt;=0),"",(N(B375)*60+C375-IFERROR(N(INDEX(Tracks!$G$2:$G$41,MATCH(A375,Tracks!$A$2:$A$41,0))),0))*P375/240))</f>
        <v/>
      </c>
      <c r="R375" s="9" t="str">
        <f aca="false">IF(Q375="","",INT(Q375)+1)</f>
        <v/>
      </c>
      <c r="S375" s="10" t="str">
        <f aca="false">IF(OR(Q375="",D375&lt;&gt;""),"",MIN(4.75,ROUND((Q375-INT(Q375))*16,0)/4+1))</f>
        <v/>
      </c>
      <c r="T375" s="11" t="str">
        <f aca="false">IF(OR(E375="",N(P375)&lt;=0),"",E375*P375/240)</f>
        <v/>
      </c>
      <c r="U375" s="9" t="str">
        <f aca="false">IF(Q375="","",IF(MIN(MOD(Q375,32),32-MOD(Q375,32))&lt;=0.25,32,IF(MIN(MOD(Q375,16),16-MOD(Q375,16))&lt;=0.25,16,IF(MIN(MOD(Q375,8),8-MOD(Q375,8))&lt;=0.25,8,""))))</f>
        <v/>
      </c>
      <c r="V375" s="9" t="str">
        <f aca="false">IF(OR(Q375="",T375=""),"",IF(MIN(MOD((Q375+T375),32),32-MOD((Q375+T375),32))&lt;=0.25,32,IF(MIN(MOD((Q375+T375),16),16-MOD((Q375+T375),16))&lt;=0.25,16,IF(MIN(MOD((Q375+T375),8),8-MOD((Q375+T375),8))&lt;=0.25,8,""))))</f>
        <v/>
      </c>
    </row>
    <row r="376" customFormat="false" ht="15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9" t="str">
        <f aca="false">IF(A376="","",IFERROR(INDEX(Tracks!$E$2:$E$41,MATCH(A376,Tracks!$A$2:$A$41,0)),"?"))</f>
        <v/>
      </c>
      <c r="P376" s="9" t="str">
        <f aca="false">IF(A376="","",IFERROR(N(INDEX(Tracks!$F$2:$F$41,MATCH(A376,Tracks!$A$2:$A$41,0))),""))</f>
        <v/>
      </c>
      <c r="Q376" s="10" t="str">
        <f aca="false">IF(D376&lt;&gt;"",D376-1,IF(OR(A376="",C376="",N(P376)&lt;=0),"",(N(B376)*60+C376-IFERROR(N(INDEX(Tracks!$G$2:$G$41,MATCH(A376,Tracks!$A$2:$A$41,0))),0))*P376/240))</f>
        <v/>
      </c>
      <c r="R376" s="9" t="str">
        <f aca="false">IF(Q376="","",INT(Q376)+1)</f>
        <v/>
      </c>
      <c r="S376" s="10" t="str">
        <f aca="false">IF(OR(Q376="",D376&lt;&gt;""),"",MIN(4.75,ROUND((Q376-INT(Q376))*16,0)/4+1))</f>
        <v/>
      </c>
      <c r="T376" s="11" t="str">
        <f aca="false">IF(OR(E376="",N(P376)&lt;=0),"",E376*P376/240)</f>
        <v/>
      </c>
      <c r="U376" s="9" t="str">
        <f aca="false">IF(Q376="","",IF(MIN(MOD(Q376,32),32-MOD(Q376,32))&lt;=0.25,32,IF(MIN(MOD(Q376,16),16-MOD(Q376,16))&lt;=0.25,16,IF(MIN(MOD(Q376,8),8-MOD(Q376,8))&lt;=0.25,8,""))))</f>
        <v/>
      </c>
      <c r="V376" s="9" t="str">
        <f aca="false">IF(OR(Q376="",T376=""),"",IF(MIN(MOD((Q376+T376),32),32-MOD((Q376+T376),32))&lt;=0.25,32,IF(MIN(MOD((Q376+T376),16),16-MOD((Q376+T376),16))&lt;=0.25,16,IF(MIN(MOD((Q376+T376),8),8-MOD((Q376+T376),8))&lt;=0.25,8,""))))</f>
        <v/>
      </c>
    </row>
    <row r="377" customFormat="false" ht="15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9" t="str">
        <f aca="false">IF(A377="","",IFERROR(INDEX(Tracks!$E$2:$E$41,MATCH(A377,Tracks!$A$2:$A$41,0)),"?"))</f>
        <v/>
      </c>
      <c r="P377" s="9" t="str">
        <f aca="false">IF(A377="","",IFERROR(N(INDEX(Tracks!$F$2:$F$41,MATCH(A377,Tracks!$A$2:$A$41,0))),""))</f>
        <v/>
      </c>
      <c r="Q377" s="10" t="str">
        <f aca="false">IF(D377&lt;&gt;"",D377-1,IF(OR(A377="",C377="",N(P377)&lt;=0),"",(N(B377)*60+C377-IFERROR(N(INDEX(Tracks!$G$2:$G$41,MATCH(A377,Tracks!$A$2:$A$41,0))),0))*P377/240))</f>
        <v/>
      </c>
      <c r="R377" s="9" t="str">
        <f aca="false">IF(Q377="","",INT(Q377)+1)</f>
        <v/>
      </c>
      <c r="S377" s="10" t="str">
        <f aca="false">IF(OR(Q377="",D377&lt;&gt;""),"",MIN(4.75,ROUND((Q377-INT(Q377))*16,0)/4+1))</f>
        <v/>
      </c>
      <c r="T377" s="11" t="str">
        <f aca="false">IF(OR(E377="",N(P377)&lt;=0),"",E377*P377/240)</f>
        <v/>
      </c>
      <c r="U377" s="9" t="str">
        <f aca="false">IF(Q377="","",IF(MIN(MOD(Q377,32),32-MOD(Q377,32))&lt;=0.25,32,IF(MIN(MOD(Q377,16),16-MOD(Q377,16))&lt;=0.25,16,IF(MIN(MOD(Q377,8),8-MOD(Q377,8))&lt;=0.25,8,""))))</f>
        <v/>
      </c>
      <c r="V377" s="9" t="str">
        <f aca="false">IF(OR(Q377="",T377=""),"",IF(MIN(MOD((Q377+T377),32),32-MOD((Q377+T377),32))&lt;=0.25,32,IF(MIN(MOD((Q377+T377),16),16-MOD((Q377+T377),16))&lt;=0.25,16,IF(MIN(MOD((Q377+T377),8),8-MOD((Q377+T377),8))&lt;=0.25,8,""))))</f>
        <v/>
      </c>
    </row>
    <row r="378" customFormat="false" ht="15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9" t="str">
        <f aca="false">IF(A378="","",IFERROR(INDEX(Tracks!$E$2:$E$41,MATCH(A378,Tracks!$A$2:$A$41,0)),"?"))</f>
        <v/>
      </c>
      <c r="P378" s="9" t="str">
        <f aca="false">IF(A378="","",IFERROR(N(INDEX(Tracks!$F$2:$F$41,MATCH(A378,Tracks!$A$2:$A$41,0))),""))</f>
        <v/>
      </c>
      <c r="Q378" s="10" t="str">
        <f aca="false">IF(D378&lt;&gt;"",D378-1,IF(OR(A378="",C378="",N(P378)&lt;=0),"",(N(B378)*60+C378-IFERROR(N(INDEX(Tracks!$G$2:$G$41,MATCH(A378,Tracks!$A$2:$A$41,0))),0))*P378/240))</f>
        <v/>
      </c>
      <c r="R378" s="9" t="str">
        <f aca="false">IF(Q378="","",INT(Q378)+1)</f>
        <v/>
      </c>
      <c r="S378" s="10" t="str">
        <f aca="false">IF(OR(Q378="",D378&lt;&gt;""),"",MIN(4.75,ROUND((Q378-INT(Q378))*16,0)/4+1))</f>
        <v/>
      </c>
      <c r="T378" s="11" t="str">
        <f aca="false">IF(OR(E378="",N(P378)&lt;=0),"",E378*P378/240)</f>
        <v/>
      </c>
      <c r="U378" s="9" t="str">
        <f aca="false">IF(Q378="","",IF(MIN(MOD(Q378,32),32-MOD(Q378,32))&lt;=0.25,32,IF(MIN(MOD(Q378,16),16-MOD(Q378,16))&lt;=0.25,16,IF(MIN(MOD(Q378,8),8-MOD(Q378,8))&lt;=0.25,8,""))))</f>
        <v/>
      </c>
      <c r="V378" s="9" t="str">
        <f aca="false">IF(OR(Q378="",T378=""),"",IF(MIN(MOD((Q378+T378),32),32-MOD((Q378+T378),32))&lt;=0.25,32,IF(MIN(MOD((Q378+T378),16),16-MOD((Q378+T378),16))&lt;=0.25,16,IF(MIN(MOD((Q378+T378),8),8-MOD((Q378+T378),8))&lt;=0.25,8,""))))</f>
        <v/>
      </c>
    </row>
    <row r="379" customFormat="false" ht="15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9" t="str">
        <f aca="false">IF(A379="","",IFERROR(INDEX(Tracks!$E$2:$E$41,MATCH(A379,Tracks!$A$2:$A$41,0)),"?"))</f>
        <v/>
      </c>
      <c r="P379" s="9" t="str">
        <f aca="false">IF(A379="","",IFERROR(N(INDEX(Tracks!$F$2:$F$41,MATCH(A379,Tracks!$A$2:$A$41,0))),""))</f>
        <v/>
      </c>
      <c r="Q379" s="10" t="str">
        <f aca="false">IF(D379&lt;&gt;"",D379-1,IF(OR(A379="",C379="",N(P379)&lt;=0),"",(N(B379)*60+C379-IFERROR(N(INDEX(Tracks!$G$2:$G$41,MATCH(A379,Tracks!$A$2:$A$41,0))),0))*P379/240))</f>
        <v/>
      </c>
      <c r="R379" s="9" t="str">
        <f aca="false">IF(Q379="","",INT(Q379)+1)</f>
        <v/>
      </c>
      <c r="S379" s="10" t="str">
        <f aca="false">IF(OR(Q379="",D379&lt;&gt;""),"",MIN(4.75,ROUND((Q379-INT(Q379))*16,0)/4+1))</f>
        <v/>
      </c>
      <c r="T379" s="11" t="str">
        <f aca="false">IF(OR(E379="",N(P379)&lt;=0),"",E379*P379/240)</f>
        <v/>
      </c>
      <c r="U379" s="9" t="str">
        <f aca="false">IF(Q379="","",IF(MIN(MOD(Q379,32),32-MOD(Q379,32))&lt;=0.25,32,IF(MIN(MOD(Q379,16),16-MOD(Q379,16))&lt;=0.25,16,IF(MIN(MOD(Q379,8),8-MOD(Q379,8))&lt;=0.25,8,""))))</f>
        <v/>
      </c>
      <c r="V379" s="9" t="str">
        <f aca="false">IF(OR(Q379="",T379=""),"",IF(MIN(MOD((Q379+T379),32),32-MOD((Q379+T379),32))&lt;=0.25,32,IF(MIN(MOD((Q379+T379),16),16-MOD((Q379+T379),16))&lt;=0.25,16,IF(MIN(MOD((Q379+T379),8),8-MOD((Q379+T379),8))&lt;=0.25,8,""))))</f>
        <v/>
      </c>
    </row>
    <row r="380" customFormat="false" ht="15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9" t="str">
        <f aca="false">IF(A380="","",IFERROR(INDEX(Tracks!$E$2:$E$41,MATCH(A380,Tracks!$A$2:$A$41,0)),"?"))</f>
        <v/>
      </c>
      <c r="P380" s="9" t="str">
        <f aca="false">IF(A380="","",IFERROR(N(INDEX(Tracks!$F$2:$F$41,MATCH(A380,Tracks!$A$2:$A$41,0))),""))</f>
        <v/>
      </c>
      <c r="Q380" s="10" t="str">
        <f aca="false">IF(D380&lt;&gt;"",D380-1,IF(OR(A380="",C380="",N(P380)&lt;=0),"",(N(B380)*60+C380-IFERROR(N(INDEX(Tracks!$G$2:$G$41,MATCH(A380,Tracks!$A$2:$A$41,0))),0))*P380/240))</f>
        <v/>
      </c>
      <c r="R380" s="9" t="str">
        <f aca="false">IF(Q380="","",INT(Q380)+1)</f>
        <v/>
      </c>
      <c r="S380" s="10" t="str">
        <f aca="false">IF(OR(Q380="",D380&lt;&gt;""),"",MIN(4.75,ROUND((Q380-INT(Q380))*16,0)/4+1))</f>
        <v/>
      </c>
      <c r="T380" s="11" t="str">
        <f aca="false">IF(OR(E380="",N(P380)&lt;=0),"",E380*P380/240)</f>
        <v/>
      </c>
      <c r="U380" s="9" t="str">
        <f aca="false">IF(Q380="","",IF(MIN(MOD(Q380,32),32-MOD(Q380,32))&lt;=0.25,32,IF(MIN(MOD(Q380,16),16-MOD(Q380,16))&lt;=0.25,16,IF(MIN(MOD(Q380,8),8-MOD(Q380,8))&lt;=0.25,8,""))))</f>
        <v/>
      </c>
      <c r="V380" s="9" t="str">
        <f aca="false">IF(OR(Q380="",T380=""),"",IF(MIN(MOD((Q380+T380),32),32-MOD((Q380+T380),32))&lt;=0.25,32,IF(MIN(MOD((Q380+T380),16),16-MOD((Q380+T380),16))&lt;=0.25,16,IF(MIN(MOD((Q380+T380),8),8-MOD((Q380+T380),8))&lt;=0.25,8,""))))</f>
        <v/>
      </c>
    </row>
    <row r="381" customFormat="false" ht="15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9" t="str">
        <f aca="false">IF(A381="","",IFERROR(INDEX(Tracks!$E$2:$E$41,MATCH(A381,Tracks!$A$2:$A$41,0)),"?"))</f>
        <v/>
      </c>
      <c r="P381" s="9" t="str">
        <f aca="false">IF(A381="","",IFERROR(N(INDEX(Tracks!$F$2:$F$41,MATCH(A381,Tracks!$A$2:$A$41,0))),""))</f>
        <v/>
      </c>
      <c r="Q381" s="10" t="str">
        <f aca="false">IF(D381&lt;&gt;"",D381-1,IF(OR(A381="",C381="",N(P381)&lt;=0),"",(N(B381)*60+C381-IFERROR(N(INDEX(Tracks!$G$2:$G$41,MATCH(A381,Tracks!$A$2:$A$41,0))),0))*P381/240))</f>
        <v/>
      </c>
      <c r="R381" s="9" t="str">
        <f aca="false">IF(Q381="","",INT(Q381)+1)</f>
        <v/>
      </c>
      <c r="S381" s="10" t="str">
        <f aca="false">IF(OR(Q381="",D381&lt;&gt;""),"",MIN(4.75,ROUND((Q381-INT(Q381))*16,0)/4+1))</f>
        <v/>
      </c>
      <c r="T381" s="11" t="str">
        <f aca="false">IF(OR(E381="",N(P381)&lt;=0),"",E381*P381/240)</f>
        <v/>
      </c>
      <c r="U381" s="9" t="str">
        <f aca="false">IF(Q381="","",IF(MIN(MOD(Q381,32),32-MOD(Q381,32))&lt;=0.25,32,IF(MIN(MOD(Q381,16),16-MOD(Q381,16))&lt;=0.25,16,IF(MIN(MOD(Q381,8),8-MOD(Q381,8))&lt;=0.25,8,""))))</f>
        <v/>
      </c>
      <c r="V381" s="9" t="str">
        <f aca="false">IF(OR(Q381="",T381=""),"",IF(MIN(MOD((Q381+T381),32),32-MOD((Q381+T381),32))&lt;=0.25,32,IF(MIN(MOD((Q381+T381),16),16-MOD((Q381+T381),16))&lt;=0.25,16,IF(MIN(MOD((Q381+T381),8),8-MOD((Q381+T381),8))&lt;=0.25,8,""))))</f>
        <v/>
      </c>
    </row>
    <row r="382" customFormat="false" ht="15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9" t="str">
        <f aca="false">IF(A382="","",IFERROR(INDEX(Tracks!$E$2:$E$41,MATCH(A382,Tracks!$A$2:$A$41,0)),"?"))</f>
        <v/>
      </c>
      <c r="P382" s="9" t="str">
        <f aca="false">IF(A382="","",IFERROR(N(INDEX(Tracks!$F$2:$F$41,MATCH(A382,Tracks!$A$2:$A$41,0))),""))</f>
        <v/>
      </c>
      <c r="Q382" s="10" t="str">
        <f aca="false">IF(D382&lt;&gt;"",D382-1,IF(OR(A382="",C382="",N(P382)&lt;=0),"",(N(B382)*60+C382-IFERROR(N(INDEX(Tracks!$G$2:$G$41,MATCH(A382,Tracks!$A$2:$A$41,0))),0))*P382/240))</f>
        <v/>
      </c>
      <c r="R382" s="9" t="str">
        <f aca="false">IF(Q382="","",INT(Q382)+1)</f>
        <v/>
      </c>
      <c r="S382" s="10" t="str">
        <f aca="false">IF(OR(Q382="",D382&lt;&gt;""),"",MIN(4.75,ROUND((Q382-INT(Q382))*16,0)/4+1))</f>
        <v/>
      </c>
      <c r="T382" s="11" t="str">
        <f aca="false">IF(OR(E382="",N(P382)&lt;=0),"",E382*P382/240)</f>
        <v/>
      </c>
      <c r="U382" s="9" t="str">
        <f aca="false">IF(Q382="","",IF(MIN(MOD(Q382,32),32-MOD(Q382,32))&lt;=0.25,32,IF(MIN(MOD(Q382,16),16-MOD(Q382,16))&lt;=0.25,16,IF(MIN(MOD(Q382,8),8-MOD(Q382,8))&lt;=0.25,8,""))))</f>
        <v/>
      </c>
      <c r="V382" s="9" t="str">
        <f aca="false">IF(OR(Q382="",T382=""),"",IF(MIN(MOD((Q382+T382),32),32-MOD((Q382+T382),32))&lt;=0.25,32,IF(MIN(MOD((Q382+T382),16),16-MOD((Q382+T382),16))&lt;=0.25,16,IF(MIN(MOD((Q382+T382),8),8-MOD((Q382+T382),8))&lt;=0.25,8,""))))</f>
        <v/>
      </c>
    </row>
    <row r="383" customFormat="false" ht="15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9" t="str">
        <f aca="false">IF(A383="","",IFERROR(INDEX(Tracks!$E$2:$E$41,MATCH(A383,Tracks!$A$2:$A$41,0)),"?"))</f>
        <v/>
      </c>
      <c r="P383" s="9" t="str">
        <f aca="false">IF(A383="","",IFERROR(N(INDEX(Tracks!$F$2:$F$41,MATCH(A383,Tracks!$A$2:$A$41,0))),""))</f>
        <v/>
      </c>
      <c r="Q383" s="10" t="str">
        <f aca="false">IF(D383&lt;&gt;"",D383-1,IF(OR(A383="",C383="",N(P383)&lt;=0),"",(N(B383)*60+C383-IFERROR(N(INDEX(Tracks!$G$2:$G$41,MATCH(A383,Tracks!$A$2:$A$41,0))),0))*P383/240))</f>
        <v/>
      </c>
      <c r="R383" s="9" t="str">
        <f aca="false">IF(Q383="","",INT(Q383)+1)</f>
        <v/>
      </c>
      <c r="S383" s="10" t="str">
        <f aca="false">IF(OR(Q383="",D383&lt;&gt;""),"",MIN(4.75,ROUND((Q383-INT(Q383))*16,0)/4+1))</f>
        <v/>
      </c>
      <c r="T383" s="11" t="str">
        <f aca="false">IF(OR(E383="",N(P383)&lt;=0),"",E383*P383/240)</f>
        <v/>
      </c>
      <c r="U383" s="9" t="str">
        <f aca="false">IF(Q383="","",IF(MIN(MOD(Q383,32),32-MOD(Q383,32))&lt;=0.25,32,IF(MIN(MOD(Q383,16),16-MOD(Q383,16))&lt;=0.25,16,IF(MIN(MOD(Q383,8),8-MOD(Q383,8))&lt;=0.25,8,""))))</f>
        <v/>
      </c>
      <c r="V383" s="9" t="str">
        <f aca="false">IF(OR(Q383="",T383=""),"",IF(MIN(MOD((Q383+T383),32),32-MOD((Q383+T383),32))&lt;=0.25,32,IF(MIN(MOD((Q383+T383),16),16-MOD((Q383+T383),16))&lt;=0.25,16,IF(MIN(MOD((Q383+T383),8),8-MOD((Q383+T383),8))&lt;=0.25,8,""))))</f>
        <v/>
      </c>
    </row>
    <row r="384" customFormat="false" ht="15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9" t="str">
        <f aca="false">IF(A384="","",IFERROR(INDEX(Tracks!$E$2:$E$41,MATCH(A384,Tracks!$A$2:$A$41,0)),"?"))</f>
        <v/>
      </c>
      <c r="P384" s="9" t="str">
        <f aca="false">IF(A384="","",IFERROR(N(INDEX(Tracks!$F$2:$F$41,MATCH(A384,Tracks!$A$2:$A$41,0))),""))</f>
        <v/>
      </c>
      <c r="Q384" s="10" t="str">
        <f aca="false">IF(D384&lt;&gt;"",D384-1,IF(OR(A384="",C384="",N(P384)&lt;=0),"",(N(B384)*60+C384-IFERROR(N(INDEX(Tracks!$G$2:$G$41,MATCH(A384,Tracks!$A$2:$A$41,0))),0))*P384/240))</f>
        <v/>
      </c>
      <c r="R384" s="9" t="str">
        <f aca="false">IF(Q384="","",INT(Q384)+1)</f>
        <v/>
      </c>
      <c r="S384" s="10" t="str">
        <f aca="false">IF(OR(Q384="",D384&lt;&gt;""),"",MIN(4.75,ROUND((Q384-INT(Q384))*16,0)/4+1))</f>
        <v/>
      </c>
      <c r="T384" s="11" t="str">
        <f aca="false">IF(OR(E384="",N(P384)&lt;=0),"",E384*P384/240)</f>
        <v/>
      </c>
      <c r="U384" s="9" t="str">
        <f aca="false">IF(Q384="","",IF(MIN(MOD(Q384,32),32-MOD(Q384,32))&lt;=0.25,32,IF(MIN(MOD(Q384,16),16-MOD(Q384,16))&lt;=0.25,16,IF(MIN(MOD(Q384,8),8-MOD(Q384,8))&lt;=0.25,8,""))))</f>
        <v/>
      </c>
      <c r="V384" s="9" t="str">
        <f aca="false">IF(OR(Q384="",T384=""),"",IF(MIN(MOD((Q384+T384),32),32-MOD((Q384+T384),32))&lt;=0.25,32,IF(MIN(MOD((Q384+T384),16),16-MOD((Q384+T384),16))&lt;=0.25,16,IF(MIN(MOD((Q384+T384),8),8-MOD((Q384+T384),8))&lt;=0.25,8,""))))</f>
        <v/>
      </c>
    </row>
    <row r="385" customFormat="false" ht="15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9" t="str">
        <f aca="false">IF(A385="","",IFERROR(INDEX(Tracks!$E$2:$E$41,MATCH(A385,Tracks!$A$2:$A$41,0)),"?"))</f>
        <v/>
      </c>
      <c r="P385" s="9" t="str">
        <f aca="false">IF(A385="","",IFERROR(N(INDEX(Tracks!$F$2:$F$41,MATCH(A385,Tracks!$A$2:$A$41,0))),""))</f>
        <v/>
      </c>
      <c r="Q385" s="10" t="str">
        <f aca="false">IF(D385&lt;&gt;"",D385-1,IF(OR(A385="",C385="",N(P385)&lt;=0),"",(N(B385)*60+C385-IFERROR(N(INDEX(Tracks!$G$2:$G$41,MATCH(A385,Tracks!$A$2:$A$41,0))),0))*P385/240))</f>
        <v/>
      </c>
      <c r="R385" s="9" t="str">
        <f aca="false">IF(Q385="","",INT(Q385)+1)</f>
        <v/>
      </c>
      <c r="S385" s="10" t="str">
        <f aca="false">IF(OR(Q385="",D385&lt;&gt;""),"",MIN(4.75,ROUND((Q385-INT(Q385))*16,0)/4+1))</f>
        <v/>
      </c>
      <c r="T385" s="11" t="str">
        <f aca="false">IF(OR(E385="",N(P385)&lt;=0),"",E385*P385/240)</f>
        <v/>
      </c>
      <c r="U385" s="9" t="str">
        <f aca="false">IF(Q385="","",IF(MIN(MOD(Q385,32),32-MOD(Q385,32))&lt;=0.25,32,IF(MIN(MOD(Q385,16),16-MOD(Q385,16))&lt;=0.25,16,IF(MIN(MOD(Q385,8),8-MOD(Q385,8))&lt;=0.25,8,""))))</f>
        <v/>
      </c>
      <c r="V385" s="9" t="str">
        <f aca="false">IF(OR(Q385="",T385=""),"",IF(MIN(MOD((Q385+T385),32),32-MOD((Q385+T385),32))&lt;=0.25,32,IF(MIN(MOD((Q385+T385),16),16-MOD((Q385+T385),16))&lt;=0.25,16,IF(MIN(MOD((Q385+T385),8),8-MOD((Q385+T385),8))&lt;=0.25,8,""))))</f>
        <v/>
      </c>
    </row>
    <row r="386" customFormat="false" ht="15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9" t="str">
        <f aca="false">IF(A386="","",IFERROR(INDEX(Tracks!$E$2:$E$41,MATCH(A386,Tracks!$A$2:$A$41,0)),"?"))</f>
        <v/>
      </c>
      <c r="P386" s="9" t="str">
        <f aca="false">IF(A386="","",IFERROR(N(INDEX(Tracks!$F$2:$F$41,MATCH(A386,Tracks!$A$2:$A$41,0))),""))</f>
        <v/>
      </c>
      <c r="Q386" s="10" t="str">
        <f aca="false">IF(D386&lt;&gt;"",D386-1,IF(OR(A386="",C386="",N(P386)&lt;=0),"",(N(B386)*60+C386-IFERROR(N(INDEX(Tracks!$G$2:$G$41,MATCH(A386,Tracks!$A$2:$A$41,0))),0))*P386/240))</f>
        <v/>
      </c>
      <c r="R386" s="9" t="str">
        <f aca="false">IF(Q386="","",INT(Q386)+1)</f>
        <v/>
      </c>
      <c r="S386" s="10" t="str">
        <f aca="false">IF(OR(Q386="",D386&lt;&gt;""),"",MIN(4.75,ROUND((Q386-INT(Q386))*16,0)/4+1))</f>
        <v/>
      </c>
      <c r="T386" s="11" t="str">
        <f aca="false">IF(OR(E386="",N(P386)&lt;=0),"",E386*P386/240)</f>
        <v/>
      </c>
      <c r="U386" s="9" t="str">
        <f aca="false">IF(Q386="","",IF(MIN(MOD(Q386,32),32-MOD(Q386,32))&lt;=0.25,32,IF(MIN(MOD(Q386,16),16-MOD(Q386,16))&lt;=0.25,16,IF(MIN(MOD(Q386,8),8-MOD(Q386,8))&lt;=0.25,8,""))))</f>
        <v/>
      </c>
      <c r="V386" s="9" t="str">
        <f aca="false">IF(OR(Q386="",T386=""),"",IF(MIN(MOD((Q386+T386),32),32-MOD((Q386+T386),32))&lt;=0.25,32,IF(MIN(MOD((Q386+T386),16),16-MOD((Q386+T386),16))&lt;=0.25,16,IF(MIN(MOD((Q386+T386),8),8-MOD((Q386+T386),8))&lt;=0.25,8,""))))</f>
        <v/>
      </c>
    </row>
    <row r="387" customFormat="false" ht="15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9" t="str">
        <f aca="false">IF(A387="","",IFERROR(INDEX(Tracks!$E$2:$E$41,MATCH(A387,Tracks!$A$2:$A$41,0)),"?"))</f>
        <v/>
      </c>
      <c r="P387" s="9" t="str">
        <f aca="false">IF(A387="","",IFERROR(N(INDEX(Tracks!$F$2:$F$41,MATCH(A387,Tracks!$A$2:$A$41,0))),""))</f>
        <v/>
      </c>
      <c r="Q387" s="10" t="str">
        <f aca="false">IF(D387&lt;&gt;"",D387-1,IF(OR(A387="",C387="",N(P387)&lt;=0),"",(N(B387)*60+C387-IFERROR(N(INDEX(Tracks!$G$2:$G$41,MATCH(A387,Tracks!$A$2:$A$41,0))),0))*P387/240))</f>
        <v/>
      </c>
      <c r="R387" s="9" t="str">
        <f aca="false">IF(Q387="","",INT(Q387)+1)</f>
        <v/>
      </c>
      <c r="S387" s="10" t="str">
        <f aca="false">IF(OR(Q387="",D387&lt;&gt;""),"",MIN(4.75,ROUND((Q387-INT(Q387))*16,0)/4+1))</f>
        <v/>
      </c>
      <c r="T387" s="11" t="str">
        <f aca="false">IF(OR(E387="",N(P387)&lt;=0),"",E387*P387/240)</f>
        <v/>
      </c>
      <c r="U387" s="9" t="str">
        <f aca="false">IF(Q387="","",IF(MIN(MOD(Q387,32),32-MOD(Q387,32))&lt;=0.25,32,IF(MIN(MOD(Q387,16),16-MOD(Q387,16))&lt;=0.25,16,IF(MIN(MOD(Q387,8),8-MOD(Q387,8))&lt;=0.25,8,""))))</f>
        <v/>
      </c>
      <c r="V387" s="9" t="str">
        <f aca="false">IF(OR(Q387="",T387=""),"",IF(MIN(MOD((Q387+T387),32),32-MOD((Q387+T387),32))&lt;=0.25,32,IF(MIN(MOD((Q387+T387),16),16-MOD((Q387+T387),16))&lt;=0.25,16,IF(MIN(MOD((Q387+T387),8),8-MOD((Q387+T387),8))&lt;=0.25,8,""))))</f>
        <v/>
      </c>
    </row>
    <row r="388" customFormat="false" ht="15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9" t="str">
        <f aca="false">IF(A388="","",IFERROR(INDEX(Tracks!$E$2:$E$41,MATCH(A388,Tracks!$A$2:$A$41,0)),"?"))</f>
        <v/>
      </c>
      <c r="P388" s="9" t="str">
        <f aca="false">IF(A388="","",IFERROR(N(INDEX(Tracks!$F$2:$F$41,MATCH(A388,Tracks!$A$2:$A$41,0))),""))</f>
        <v/>
      </c>
      <c r="Q388" s="10" t="str">
        <f aca="false">IF(D388&lt;&gt;"",D388-1,IF(OR(A388="",C388="",N(P388)&lt;=0),"",(N(B388)*60+C388-IFERROR(N(INDEX(Tracks!$G$2:$G$41,MATCH(A388,Tracks!$A$2:$A$41,0))),0))*P388/240))</f>
        <v/>
      </c>
      <c r="R388" s="9" t="str">
        <f aca="false">IF(Q388="","",INT(Q388)+1)</f>
        <v/>
      </c>
      <c r="S388" s="10" t="str">
        <f aca="false">IF(OR(Q388="",D388&lt;&gt;""),"",MIN(4.75,ROUND((Q388-INT(Q388))*16,0)/4+1))</f>
        <v/>
      </c>
      <c r="T388" s="11" t="str">
        <f aca="false">IF(OR(E388="",N(P388)&lt;=0),"",E388*P388/240)</f>
        <v/>
      </c>
      <c r="U388" s="9" t="str">
        <f aca="false">IF(Q388="","",IF(MIN(MOD(Q388,32),32-MOD(Q388,32))&lt;=0.25,32,IF(MIN(MOD(Q388,16),16-MOD(Q388,16))&lt;=0.25,16,IF(MIN(MOD(Q388,8),8-MOD(Q388,8))&lt;=0.25,8,""))))</f>
        <v/>
      </c>
      <c r="V388" s="9" t="str">
        <f aca="false">IF(OR(Q388="",T388=""),"",IF(MIN(MOD((Q388+T388),32),32-MOD((Q388+T388),32))&lt;=0.25,32,IF(MIN(MOD((Q388+T388),16),16-MOD((Q388+T388),16))&lt;=0.25,16,IF(MIN(MOD((Q388+T388),8),8-MOD((Q388+T388),8))&lt;=0.25,8,""))))</f>
        <v/>
      </c>
    </row>
    <row r="389" customFormat="false" ht="15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9" t="str">
        <f aca="false">IF(A389="","",IFERROR(INDEX(Tracks!$E$2:$E$41,MATCH(A389,Tracks!$A$2:$A$41,0)),"?"))</f>
        <v/>
      </c>
      <c r="P389" s="9" t="str">
        <f aca="false">IF(A389="","",IFERROR(N(INDEX(Tracks!$F$2:$F$41,MATCH(A389,Tracks!$A$2:$A$41,0))),""))</f>
        <v/>
      </c>
      <c r="Q389" s="10" t="str">
        <f aca="false">IF(D389&lt;&gt;"",D389-1,IF(OR(A389="",C389="",N(P389)&lt;=0),"",(N(B389)*60+C389-IFERROR(N(INDEX(Tracks!$G$2:$G$41,MATCH(A389,Tracks!$A$2:$A$41,0))),0))*P389/240))</f>
        <v/>
      </c>
      <c r="R389" s="9" t="str">
        <f aca="false">IF(Q389="","",INT(Q389)+1)</f>
        <v/>
      </c>
      <c r="S389" s="10" t="str">
        <f aca="false">IF(OR(Q389="",D389&lt;&gt;""),"",MIN(4.75,ROUND((Q389-INT(Q389))*16,0)/4+1))</f>
        <v/>
      </c>
      <c r="T389" s="11" t="str">
        <f aca="false">IF(OR(E389="",N(P389)&lt;=0),"",E389*P389/240)</f>
        <v/>
      </c>
      <c r="U389" s="9" t="str">
        <f aca="false">IF(Q389="","",IF(MIN(MOD(Q389,32),32-MOD(Q389,32))&lt;=0.25,32,IF(MIN(MOD(Q389,16),16-MOD(Q389,16))&lt;=0.25,16,IF(MIN(MOD(Q389,8),8-MOD(Q389,8))&lt;=0.25,8,""))))</f>
        <v/>
      </c>
      <c r="V389" s="9" t="str">
        <f aca="false">IF(OR(Q389="",T389=""),"",IF(MIN(MOD((Q389+T389),32),32-MOD((Q389+T389),32))&lt;=0.25,32,IF(MIN(MOD((Q389+T389),16),16-MOD((Q389+T389),16))&lt;=0.25,16,IF(MIN(MOD((Q389+T389),8),8-MOD((Q389+T389),8))&lt;=0.25,8,""))))</f>
        <v/>
      </c>
    </row>
    <row r="390" customFormat="false" ht="15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9" t="str">
        <f aca="false">IF(A390="","",IFERROR(INDEX(Tracks!$E$2:$E$41,MATCH(A390,Tracks!$A$2:$A$41,0)),"?"))</f>
        <v/>
      </c>
      <c r="P390" s="9" t="str">
        <f aca="false">IF(A390="","",IFERROR(N(INDEX(Tracks!$F$2:$F$41,MATCH(A390,Tracks!$A$2:$A$41,0))),""))</f>
        <v/>
      </c>
      <c r="Q390" s="10" t="str">
        <f aca="false">IF(D390&lt;&gt;"",D390-1,IF(OR(A390="",C390="",N(P390)&lt;=0),"",(N(B390)*60+C390-IFERROR(N(INDEX(Tracks!$G$2:$G$41,MATCH(A390,Tracks!$A$2:$A$41,0))),0))*P390/240))</f>
        <v/>
      </c>
      <c r="R390" s="9" t="str">
        <f aca="false">IF(Q390="","",INT(Q390)+1)</f>
        <v/>
      </c>
      <c r="S390" s="10" t="str">
        <f aca="false">IF(OR(Q390="",D390&lt;&gt;""),"",MIN(4.75,ROUND((Q390-INT(Q390))*16,0)/4+1))</f>
        <v/>
      </c>
      <c r="T390" s="11" t="str">
        <f aca="false">IF(OR(E390="",N(P390)&lt;=0),"",E390*P390/240)</f>
        <v/>
      </c>
      <c r="U390" s="9" t="str">
        <f aca="false">IF(Q390="","",IF(MIN(MOD(Q390,32),32-MOD(Q390,32))&lt;=0.25,32,IF(MIN(MOD(Q390,16),16-MOD(Q390,16))&lt;=0.25,16,IF(MIN(MOD(Q390,8),8-MOD(Q390,8))&lt;=0.25,8,""))))</f>
        <v/>
      </c>
      <c r="V390" s="9" t="str">
        <f aca="false">IF(OR(Q390="",T390=""),"",IF(MIN(MOD((Q390+T390),32),32-MOD((Q390+T390),32))&lt;=0.25,32,IF(MIN(MOD((Q390+T390),16),16-MOD((Q390+T390),16))&lt;=0.25,16,IF(MIN(MOD((Q390+T390),8),8-MOD((Q390+T390),8))&lt;=0.25,8,""))))</f>
        <v/>
      </c>
    </row>
    <row r="391" customFormat="false" ht="15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9" t="str">
        <f aca="false">IF(A391="","",IFERROR(INDEX(Tracks!$E$2:$E$41,MATCH(A391,Tracks!$A$2:$A$41,0)),"?"))</f>
        <v/>
      </c>
      <c r="P391" s="9" t="str">
        <f aca="false">IF(A391="","",IFERROR(N(INDEX(Tracks!$F$2:$F$41,MATCH(A391,Tracks!$A$2:$A$41,0))),""))</f>
        <v/>
      </c>
      <c r="Q391" s="10" t="str">
        <f aca="false">IF(D391&lt;&gt;"",D391-1,IF(OR(A391="",C391="",N(P391)&lt;=0),"",(N(B391)*60+C391-IFERROR(N(INDEX(Tracks!$G$2:$G$41,MATCH(A391,Tracks!$A$2:$A$41,0))),0))*P391/240))</f>
        <v/>
      </c>
      <c r="R391" s="9" t="str">
        <f aca="false">IF(Q391="","",INT(Q391)+1)</f>
        <v/>
      </c>
      <c r="S391" s="10" t="str">
        <f aca="false">IF(OR(Q391="",D391&lt;&gt;""),"",MIN(4.75,ROUND((Q391-INT(Q391))*16,0)/4+1))</f>
        <v/>
      </c>
      <c r="T391" s="11" t="str">
        <f aca="false">IF(OR(E391="",N(P391)&lt;=0),"",E391*P391/240)</f>
        <v/>
      </c>
      <c r="U391" s="9" t="str">
        <f aca="false">IF(Q391="","",IF(MIN(MOD(Q391,32),32-MOD(Q391,32))&lt;=0.25,32,IF(MIN(MOD(Q391,16),16-MOD(Q391,16))&lt;=0.25,16,IF(MIN(MOD(Q391,8),8-MOD(Q391,8))&lt;=0.25,8,""))))</f>
        <v/>
      </c>
      <c r="V391" s="9" t="str">
        <f aca="false">IF(OR(Q391="",T391=""),"",IF(MIN(MOD((Q391+T391),32),32-MOD((Q391+T391),32))&lt;=0.25,32,IF(MIN(MOD((Q391+T391),16),16-MOD((Q391+T391),16))&lt;=0.25,16,IF(MIN(MOD((Q391+T391),8),8-MOD((Q391+T391),8))&lt;=0.25,8,""))))</f>
        <v/>
      </c>
    </row>
    <row r="392" customFormat="false" ht="15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9" t="str">
        <f aca="false">IF(A392="","",IFERROR(INDEX(Tracks!$E$2:$E$41,MATCH(A392,Tracks!$A$2:$A$41,0)),"?"))</f>
        <v/>
      </c>
      <c r="P392" s="9" t="str">
        <f aca="false">IF(A392="","",IFERROR(N(INDEX(Tracks!$F$2:$F$41,MATCH(A392,Tracks!$A$2:$A$41,0))),""))</f>
        <v/>
      </c>
      <c r="Q392" s="10" t="str">
        <f aca="false">IF(D392&lt;&gt;"",D392-1,IF(OR(A392="",C392="",N(P392)&lt;=0),"",(N(B392)*60+C392-IFERROR(N(INDEX(Tracks!$G$2:$G$41,MATCH(A392,Tracks!$A$2:$A$41,0))),0))*P392/240))</f>
        <v/>
      </c>
      <c r="R392" s="9" t="str">
        <f aca="false">IF(Q392="","",INT(Q392)+1)</f>
        <v/>
      </c>
      <c r="S392" s="10" t="str">
        <f aca="false">IF(OR(Q392="",D392&lt;&gt;""),"",MIN(4.75,ROUND((Q392-INT(Q392))*16,0)/4+1))</f>
        <v/>
      </c>
      <c r="T392" s="11" t="str">
        <f aca="false">IF(OR(E392="",N(P392)&lt;=0),"",E392*P392/240)</f>
        <v/>
      </c>
      <c r="U392" s="9" t="str">
        <f aca="false">IF(Q392="","",IF(MIN(MOD(Q392,32),32-MOD(Q392,32))&lt;=0.25,32,IF(MIN(MOD(Q392,16),16-MOD(Q392,16))&lt;=0.25,16,IF(MIN(MOD(Q392,8),8-MOD(Q392,8))&lt;=0.25,8,""))))</f>
        <v/>
      </c>
      <c r="V392" s="9" t="str">
        <f aca="false">IF(OR(Q392="",T392=""),"",IF(MIN(MOD((Q392+T392),32),32-MOD((Q392+T392),32))&lt;=0.25,32,IF(MIN(MOD((Q392+T392),16),16-MOD((Q392+T392),16))&lt;=0.25,16,IF(MIN(MOD((Q392+T392),8),8-MOD((Q392+T392),8))&lt;=0.25,8,""))))</f>
        <v/>
      </c>
    </row>
    <row r="393" customFormat="false" ht="15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9" t="str">
        <f aca="false">IF(A393="","",IFERROR(INDEX(Tracks!$E$2:$E$41,MATCH(A393,Tracks!$A$2:$A$41,0)),"?"))</f>
        <v/>
      </c>
      <c r="P393" s="9" t="str">
        <f aca="false">IF(A393="","",IFERROR(N(INDEX(Tracks!$F$2:$F$41,MATCH(A393,Tracks!$A$2:$A$41,0))),""))</f>
        <v/>
      </c>
      <c r="Q393" s="10" t="str">
        <f aca="false">IF(D393&lt;&gt;"",D393-1,IF(OR(A393="",C393="",N(P393)&lt;=0),"",(N(B393)*60+C393-IFERROR(N(INDEX(Tracks!$G$2:$G$41,MATCH(A393,Tracks!$A$2:$A$41,0))),0))*P393/240))</f>
        <v/>
      </c>
      <c r="R393" s="9" t="str">
        <f aca="false">IF(Q393="","",INT(Q393)+1)</f>
        <v/>
      </c>
      <c r="S393" s="10" t="str">
        <f aca="false">IF(OR(Q393="",D393&lt;&gt;""),"",MIN(4.75,ROUND((Q393-INT(Q393))*16,0)/4+1))</f>
        <v/>
      </c>
      <c r="T393" s="11" t="str">
        <f aca="false">IF(OR(E393="",N(P393)&lt;=0),"",E393*P393/240)</f>
        <v/>
      </c>
      <c r="U393" s="9" t="str">
        <f aca="false">IF(Q393="","",IF(MIN(MOD(Q393,32),32-MOD(Q393,32))&lt;=0.25,32,IF(MIN(MOD(Q393,16),16-MOD(Q393,16))&lt;=0.25,16,IF(MIN(MOD(Q393,8),8-MOD(Q393,8))&lt;=0.25,8,""))))</f>
        <v/>
      </c>
      <c r="V393" s="9" t="str">
        <f aca="false">IF(OR(Q393="",T393=""),"",IF(MIN(MOD((Q393+T393),32),32-MOD((Q393+T393),32))&lt;=0.25,32,IF(MIN(MOD((Q393+T393),16),16-MOD((Q393+T393),16))&lt;=0.25,16,IF(MIN(MOD((Q393+T393),8),8-MOD((Q393+T393),8))&lt;=0.25,8,""))))</f>
        <v/>
      </c>
    </row>
    <row r="394" customFormat="false" ht="15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9" t="str">
        <f aca="false">IF(A394="","",IFERROR(INDEX(Tracks!$E$2:$E$41,MATCH(A394,Tracks!$A$2:$A$41,0)),"?"))</f>
        <v/>
      </c>
      <c r="P394" s="9" t="str">
        <f aca="false">IF(A394="","",IFERROR(N(INDEX(Tracks!$F$2:$F$41,MATCH(A394,Tracks!$A$2:$A$41,0))),""))</f>
        <v/>
      </c>
      <c r="Q394" s="10" t="str">
        <f aca="false">IF(D394&lt;&gt;"",D394-1,IF(OR(A394="",C394="",N(P394)&lt;=0),"",(N(B394)*60+C394-IFERROR(N(INDEX(Tracks!$G$2:$G$41,MATCH(A394,Tracks!$A$2:$A$41,0))),0))*P394/240))</f>
        <v/>
      </c>
      <c r="R394" s="9" t="str">
        <f aca="false">IF(Q394="","",INT(Q394)+1)</f>
        <v/>
      </c>
      <c r="S394" s="10" t="str">
        <f aca="false">IF(OR(Q394="",D394&lt;&gt;""),"",MIN(4.75,ROUND((Q394-INT(Q394))*16,0)/4+1))</f>
        <v/>
      </c>
      <c r="T394" s="11" t="str">
        <f aca="false">IF(OR(E394="",N(P394)&lt;=0),"",E394*P394/240)</f>
        <v/>
      </c>
      <c r="U394" s="9" t="str">
        <f aca="false">IF(Q394="","",IF(MIN(MOD(Q394,32),32-MOD(Q394,32))&lt;=0.25,32,IF(MIN(MOD(Q394,16),16-MOD(Q394,16))&lt;=0.25,16,IF(MIN(MOD(Q394,8),8-MOD(Q394,8))&lt;=0.25,8,""))))</f>
        <v/>
      </c>
      <c r="V394" s="9" t="str">
        <f aca="false">IF(OR(Q394="",T394=""),"",IF(MIN(MOD((Q394+T394),32),32-MOD((Q394+T394),32))&lt;=0.25,32,IF(MIN(MOD((Q394+T394),16),16-MOD((Q394+T394),16))&lt;=0.25,16,IF(MIN(MOD((Q394+T394),8),8-MOD((Q394+T394),8))&lt;=0.25,8,""))))</f>
        <v/>
      </c>
    </row>
    <row r="395" customFormat="false" ht="15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9" t="str">
        <f aca="false">IF(A395="","",IFERROR(INDEX(Tracks!$E$2:$E$41,MATCH(A395,Tracks!$A$2:$A$41,0)),"?"))</f>
        <v/>
      </c>
      <c r="P395" s="9" t="str">
        <f aca="false">IF(A395="","",IFERROR(N(INDEX(Tracks!$F$2:$F$41,MATCH(A395,Tracks!$A$2:$A$41,0))),""))</f>
        <v/>
      </c>
      <c r="Q395" s="10" t="str">
        <f aca="false">IF(D395&lt;&gt;"",D395-1,IF(OR(A395="",C395="",N(P395)&lt;=0),"",(N(B395)*60+C395-IFERROR(N(INDEX(Tracks!$G$2:$G$41,MATCH(A395,Tracks!$A$2:$A$41,0))),0))*P395/240))</f>
        <v/>
      </c>
      <c r="R395" s="9" t="str">
        <f aca="false">IF(Q395="","",INT(Q395)+1)</f>
        <v/>
      </c>
      <c r="S395" s="10" t="str">
        <f aca="false">IF(OR(Q395="",D395&lt;&gt;""),"",MIN(4.75,ROUND((Q395-INT(Q395))*16,0)/4+1))</f>
        <v/>
      </c>
      <c r="T395" s="11" t="str">
        <f aca="false">IF(OR(E395="",N(P395)&lt;=0),"",E395*P395/240)</f>
        <v/>
      </c>
      <c r="U395" s="9" t="str">
        <f aca="false">IF(Q395="","",IF(MIN(MOD(Q395,32),32-MOD(Q395,32))&lt;=0.25,32,IF(MIN(MOD(Q395,16),16-MOD(Q395,16))&lt;=0.25,16,IF(MIN(MOD(Q395,8),8-MOD(Q395,8))&lt;=0.25,8,""))))</f>
        <v/>
      </c>
      <c r="V395" s="9" t="str">
        <f aca="false">IF(OR(Q395="",T395=""),"",IF(MIN(MOD((Q395+T395),32),32-MOD((Q395+T395),32))&lt;=0.25,32,IF(MIN(MOD((Q395+T395),16),16-MOD((Q395+T395),16))&lt;=0.25,16,IF(MIN(MOD((Q395+T395),8),8-MOD((Q395+T395),8))&lt;=0.25,8,""))))</f>
        <v/>
      </c>
    </row>
    <row r="396" customFormat="false" ht="15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9" t="str">
        <f aca="false">IF(A396="","",IFERROR(INDEX(Tracks!$E$2:$E$41,MATCH(A396,Tracks!$A$2:$A$41,0)),"?"))</f>
        <v/>
      </c>
      <c r="P396" s="9" t="str">
        <f aca="false">IF(A396="","",IFERROR(N(INDEX(Tracks!$F$2:$F$41,MATCH(A396,Tracks!$A$2:$A$41,0))),""))</f>
        <v/>
      </c>
      <c r="Q396" s="10" t="str">
        <f aca="false">IF(D396&lt;&gt;"",D396-1,IF(OR(A396="",C396="",N(P396)&lt;=0),"",(N(B396)*60+C396-IFERROR(N(INDEX(Tracks!$G$2:$G$41,MATCH(A396,Tracks!$A$2:$A$41,0))),0))*P396/240))</f>
        <v/>
      </c>
      <c r="R396" s="9" t="str">
        <f aca="false">IF(Q396="","",INT(Q396)+1)</f>
        <v/>
      </c>
      <c r="S396" s="10" t="str">
        <f aca="false">IF(OR(Q396="",D396&lt;&gt;""),"",MIN(4.75,ROUND((Q396-INT(Q396))*16,0)/4+1))</f>
        <v/>
      </c>
      <c r="T396" s="11" t="str">
        <f aca="false">IF(OR(E396="",N(P396)&lt;=0),"",E396*P396/240)</f>
        <v/>
      </c>
      <c r="U396" s="9" t="str">
        <f aca="false">IF(Q396="","",IF(MIN(MOD(Q396,32),32-MOD(Q396,32))&lt;=0.25,32,IF(MIN(MOD(Q396,16),16-MOD(Q396,16))&lt;=0.25,16,IF(MIN(MOD(Q396,8),8-MOD(Q396,8))&lt;=0.25,8,""))))</f>
        <v/>
      </c>
      <c r="V396" s="9" t="str">
        <f aca="false">IF(OR(Q396="",T396=""),"",IF(MIN(MOD((Q396+T396),32),32-MOD((Q396+T396),32))&lt;=0.25,32,IF(MIN(MOD((Q396+T396),16),16-MOD((Q396+T396),16))&lt;=0.25,16,IF(MIN(MOD((Q396+T396),8),8-MOD((Q396+T396),8))&lt;=0.25,8,""))))</f>
        <v/>
      </c>
    </row>
    <row r="397" customFormat="false" ht="15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9" t="str">
        <f aca="false">IF(A397="","",IFERROR(INDEX(Tracks!$E$2:$E$41,MATCH(A397,Tracks!$A$2:$A$41,0)),"?"))</f>
        <v/>
      </c>
      <c r="P397" s="9" t="str">
        <f aca="false">IF(A397="","",IFERROR(N(INDEX(Tracks!$F$2:$F$41,MATCH(A397,Tracks!$A$2:$A$41,0))),""))</f>
        <v/>
      </c>
      <c r="Q397" s="10" t="str">
        <f aca="false">IF(D397&lt;&gt;"",D397-1,IF(OR(A397="",C397="",N(P397)&lt;=0),"",(N(B397)*60+C397-IFERROR(N(INDEX(Tracks!$G$2:$G$41,MATCH(A397,Tracks!$A$2:$A$41,0))),0))*P397/240))</f>
        <v/>
      </c>
      <c r="R397" s="9" t="str">
        <f aca="false">IF(Q397="","",INT(Q397)+1)</f>
        <v/>
      </c>
      <c r="S397" s="10" t="str">
        <f aca="false">IF(OR(Q397="",D397&lt;&gt;""),"",MIN(4.75,ROUND((Q397-INT(Q397))*16,0)/4+1))</f>
        <v/>
      </c>
      <c r="T397" s="11" t="str">
        <f aca="false">IF(OR(E397="",N(P397)&lt;=0),"",E397*P397/240)</f>
        <v/>
      </c>
      <c r="U397" s="9" t="str">
        <f aca="false">IF(Q397="","",IF(MIN(MOD(Q397,32),32-MOD(Q397,32))&lt;=0.25,32,IF(MIN(MOD(Q397,16),16-MOD(Q397,16))&lt;=0.25,16,IF(MIN(MOD(Q397,8),8-MOD(Q397,8))&lt;=0.25,8,""))))</f>
        <v/>
      </c>
      <c r="V397" s="9" t="str">
        <f aca="false">IF(OR(Q397="",T397=""),"",IF(MIN(MOD((Q397+T397),32),32-MOD((Q397+T397),32))&lt;=0.25,32,IF(MIN(MOD((Q397+T397),16),16-MOD((Q397+T397),16))&lt;=0.25,16,IF(MIN(MOD((Q397+T397),8),8-MOD((Q397+T397),8))&lt;=0.25,8,""))))</f>
        <v/>
      </c>
    </row>
    <row r="398" customFormat="false" ht="15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9" t="str">
        <f aca="false">IF(A398="","",IFERROR(INDEX(Tracks!$E$2:$E$41,MATCH(A398,Tracks!$A$2:$A$41,0)),"?"))</f>
        <v/>
      </c>
      <c r="P398" s="9" t="str">
        <f aca="false">IF(A398="","",IFERROR(N(INDEX(Tracks!$F$2:$F$41,MATCH(A398,Tracks!$A$2:$A$41,0))),""))</f>
        <v/>
      </c>
      <c r="Q398" s="10" t="str">
        <f aca="false">IF(D398&lt;&gt;"",D398-1,IF(OR(A398="",C398="",N(P398)&lt;=0),"",(N(B398)*60+C398-IFERROR(N(INDEX(Tracks!$G$2:$G$41,MATCH(A398,Tracks!$A$2:$A$41,0))),0))*P398/240))</f>
        <v/>
      </c>
      <c r="R398" s="9" t="str">
        <f aca="false">IF(Q398="","",INT(Q398)+1)</f>
        <v/>
      </c>
      <c r="S398" s="10" t="str">
        <f aca="false">IF(OR(Q398="",D398&lt;&gt;""),"",MIN(4.75,ROUND((Q398-INT(Q398))*16,0)/4+1))</f>
        <v/>
      </c>
      <c r="T398" s="11" t="str">
        <f aca="false">IF(OR(E398="",N(P398)&lt;=0),"",E398*P398/240)</f>
        <v/>
      </c>
      <c r="U398" s="9" t="str">
        <f aca="false">IF(Q398="","",IF(MIN(MOD(Q398,32),32-MOD(Q398,32))&lt;=0.25,32,IF(MIN(MOD(Q398,16),16-MOD(Q398,16))&lt;=0.25,16,IF(MIN(MOD(Q398,8),8-MOD(Q398,8))&lt;=0.25,8,""))))</f>
        <v/>
      </c>
      <c r="V398" s="9" t="str">
        <f aca="false">IF(OR(Q398="",T398=""),"",IF(MIN(MOD((Q398+T398),32),32-MOD((Q398+T398),32))&lt;=0.25,32,IF(MIN(MOD((Q398+T398),16),16-MOD((Q398+T398),16))&lt;=0.25,16,IF(MIN(MOD((Q398+T398),8),8-MOD((Q398+T398),8))&lt;=0.25,8,""))))</f>
        <v/>
      </c>
    </row>
    <row r="399" customFormat="false" ht="15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9" t="str">
        <f aca="false">IF(A399="","",IFERROR(INDEX(Tracks!$E$2:$E$41,MATCH(A399,Tracks!$A$2:$A$41,0)),"?"))</f>
        <v/>
      </c>
      <c r="P399" s="9" t="str">
        <f aca="false">IF(A399="","",IFERROR(N(INDEX(Tracks!$F$2:$F$41,MATCH(A399,Tracks!$A$2:$A$41,0))),""))</f>
        <v/>
      </c>
      <c r="Q399" s="10" t="str">
        <f aca="false">IF(D399&lt;&gt;"",D399-1,IF(OR(A399="",C399="",N(P399)&lt;=0),"",(N(B399)*60+C399-IFERROR(N(INDEX(Tracks!$G$2:$G$41,MATCH(A399,Tracks!$A$2:$A$41,0))),0))*P399/240))</f>
        <v/>
      </c>
      <c r="R399" s="9" t="str">
        <f aca="false">IF(Q399="","",INT(Q399)+1)</f>
        <v/>
      </c>
      <c r="S399" s="10" t="str">
        <f aca="false">IF(OR(Q399="",D399&lt;&gt;""),"",MIN(4.75,ROUND((Q399-INT(Q399))*16,0)/4+1))</f>
        <v/>
      </c>
      <c r="T399" s="11" t="str">
        <f aca="false">IF(OR(E399="",N(P399)&lt;=0),"",E399*P399/240)</f>
        <v/>
      </c>
      <c r="U399" s="9" t="str">
        <f aca="false">IF(Q399="","",IF(MIN(MOD(Q399,32),32-MOD(Q399,32))&lt;=0.25,32,IF(MIN(MOD(Q399,16),16-MOD(Q399,16))&lt;=0.25,16,IF(MIN(MOD(Q399,8),8-MOD(Q399,8))&lt;=0.25,8,""))))</f>
        <v/>
      </c>
      <c r="V399" s="9" t="str">
        <f aca="false">IF(OR(Q399="",T399=""),"",IF(MIN(MOD((Q399+T399),32),32-MOD((Q399+T399),32))&lt;=0.25,32,IF(MIN(MOD((Q399+T399),16),16-MOD((Q399+T399),16))&lt;=0.25,16,IF(MIN(MOD((Q399+T399),8),8-MOD((Q399+T399),8))&lt;=0.25,8,""))))</f>
        <v/>
      </c>
    </row>
    <row r="400" customFormat="false" ht="15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9" t="str">
        <f aca="false">IF(A400="","",IFERROR(INDEX(Tracks!$E$2:$E$41,MATCH(A400,Tracks!$A$2:$A$41,0)),"?"))</f>
        <v/>
      </c>
      <c r="P400" s="9" t="str">
        <f aca="false">IF(A400="","",IFERROR(N(INDEX(Tracks!$F$2:$F$41,MATCH(A400,Tracks!$A$2:$A$41,0))),""))</f>
        <v/>
      </c>
      <c r="Q400" s="10" t="str">
        <f aca="false">IF(D400&lt;&gt;"",D400-1,IF(OR(A400="",C400="",N(P400)&lt;=0),"",(N(B400)*60+C400-IFERROR(N(INDEX(Tracks!$G$2:$G$41,MATCH(A400,Tracks!$A$2:$A$41,0))),0))*P400/240))</f>
        <v/>
      </c>
      <c r="R400" s="9" t="str">
        <f aca="false">IF(Q400="","",INT(Q400)+1)</f>
        <v/>
      </c>
      <c r="S400" s="10" t="str">
        <f aca="false">IF(OR(Q400="",D400&lt;&gt;""),"",MIN(4.75,ROUND((Q400-INT(Q400))*16,0)/4+1))</f>
        <v/>
      </c>
      <c r="T400" s="11" t="str">
        <f aca="false">IF(OR(E400="",N(P400)&lt;=0),"",E400*P400/240)</f>
        <v/>
      </c>
      <c r="U400" s="9" t="str">
        <f aca="false">IF(Q400="","",IF(MIN(MOD(Q400,32),32-MOD(Q400,32))&lt;=0.25,32,IF(MIN(MOD(Q400,16),16-MOD(Q400,16))&lt;=0.25,16,IF(MIN(MOD(Q400,8),8-MOD(Q400,8))&lt;=0.25,8,""))))</f>
        <v/>
      </c>
      <c r="V400" s="9" t="str">
        <f aca="false">IF(OR(Q400="",T400=""),"",IF(MIN(MOD((Q400+T400),32),32-MOD((Q400+T400),32))&lt;=0.25,32,IF(MIN(MOD((Q400+T400),16),16-MOD((Q400+T400),16))&lt;=0.25,16,IF(MIN(MOD((Q400+T400),8),8-MOD((Q400+T400),8))&lt;=0.25,8,""))))</f>
        <v/>
      </c>
    </row>
    <row r="401" customFormat="false" ht="15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9" t="str">
        <f aca="false">IF(A401="","",IFERROR(INDEX(Tracks!$E$2:$E$41,MATCH(A401,Tracks!$A$2:$A$41,0)),"?"))</f>
        <v/>
      </c>
      <c r="P401" s="9" t="str">
        <f aca="false">IF(A401="","",IFERROR(N(INDEX(Tracks!$F$2:$F$41,MATCH(A401,Tracks!$A$2:$A$41,0))),""))</f>
        <v/>
      </c>
      <c r="Q401" s="10" t="str">
        <f aca="false">IF(D401&lt;&gt;"",D401-1,IF(OR(A401="",C401="",N(P401)&lt;=0),"",(N(B401)*60+C401-IFERROR(N(INDEX(Tracks!$G$2:$G$41,MATCH(A401,Tracks!$A$2:$A$41,0))),0))*P401/240))</f>
        <v/>
      </c>
      <c r="R401" s="9" t="str">
        <f aca="false">IF(Q401="","",INT(Q401)+1)</f>
        <v/>
      </c>
      <c r="S401" s="10" t="str">
        <f aca="false">IF(OR(Q401="",D401&lt;&gt;""),"",MIN(4.75,ROUND((Q401-INT(Q401))*16,0)/4+1))</f>
        <v/>
      </c>
      <c r="T401" s="11" t="str">
        <f aca="false">IF(OR(E401="",N(P401)&lt;=0),"",E401*P401/240)</f>
        <v/>
      </c>
      <c r="U401" s="9" t="str">
        <f aca="false">IF(Q401="","",IF(MIN(MOD(Q401,32),32-MOD(Q401,32))&lt;=0.25,32,IF(MIN(MOD(Q401,16),16-MOD(Q401,16))&lt;=0.25,16,IF(MIN(MOD(Q401,8),8-MOD(Q401,8))&lt;=0.25,8,""))))</f>
        <v/>
      </c>
      <c r="V401" s="9" t="str">
        <f aca="false">IF(OR(Q401="",T401=""),"",IF(MIN(MOD((Q401+T401),32),32-MOD((Q401+T401),32))&lt;=0.25,32,IF(MIN(MOD((Q401+T401),16),16-MOD((Q401+T401),16))&lt;=0.25,16,IF(MIN(MOD((Q401+T401),8),8-MOD((Q401+T401),8))&lt;=0.25,8,""))))</f>
        <v/>
      </c>
    </row>
    <row r="402" customFormat="false" ht="15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9" t="str">
        <f aca="false">IF(A402="","",IFERROR(INDEX(Tracks!$E$2:$E$41,MATCH(A402,Tracks!$A$2:$A$41,0)),"?"))</f>
        <v/>
      </c>
      <c r="P402" s="9" t="str">
        <f aca="false">IF(A402="","",IFERROR(N(INDEX(Tracks!$F$2:$F$41,MATCH(A402,Tracks!$A$2:$A$41,0))),""))</f>
        <v/>
      </c>
      <c r="Q402" s="10" t="str">
        <f aca="false">IF(D402&lt;&gt;"",D402-1,IF(OR(A402="",C402="",N(P402)&lt;=0),"",(N(B402)*60+C402-IFERROR(N(INDEX(Tracks!$G$2:$G$41,MATCH(A402,Tracks!$A$2:$A$41,0))),0))*P402/240))</f>
        <v/>
      </c>
      <c r="R402" s="9" t="str">
        <f aca="false">IF(Q402="","",INT(Q402)+1)</f>
        <v/>
      </c>
      <c r="S402" s="10" t="str">
        <f aca="false">IF(OR(Q402="",D402&lt;&gt;""),"",MIN(4.75,ROUND((Q402-INT(Q402))*16,0)/4+1))</f>
        <v/>
      </c>
      <c r="T402" s="11" t="str">
        <f aca="false">IF(OR(E402="",N(P402)&lt;=0),"",E402*P402/240)</f>
        <v/>
      </c>
      <c r="U402" s="9" t="str">
        <f aca="false">IF(Q402="","",IF(MIN(MOD(Q402,32),32-MOD(Q402,32))&lt;=0.25,32,IF(MIN(MOD(Q402,16),16-MOD(Q402,16))&lt;=0.25,16,IF(MIN(MOD(Q402,8),8-MOD(Q402,8))&lt;=0.25,8,""))))</f>
        <v/>
      </c>
      <c r="V402" s="9" t="str">
        <f aca="false">IF(OR(Q402="",T402=""),"",IF(MIN(MOD((Q402+T402),32),32-MOD((Q402+T402),32))&lt;=0.25,32,IF(MIN(MOD((Q402+T402),16),16-MOD((Q402+T402),16))&lt;=0.25,16,IF(MIN(MOD((Q402+T402),8),8-MOD((Q402+T402),8))&lt;=0.25,8,""))))</f>
        <v/>
      </c>
    </row>
    <row r="403" customFormat="false" ht="15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9" t="str">
        <f aca="false">IF(A403="","",IFERROR(INDEX(Tracks!$E$2:$E$41,MATCH(A403,Tracks!$A$2:$A$41,0)),"?"))</f>
        <v/>
      </c>
      <c r="P403" s="9" t="str">
        <f aca="false">IF(A403="","",IFERROR(N(INDEX(Tracks!$F$2:$F$41,MATCH(A403,Tracks!$A$2:$A$41,0))),""))</f>
        <v/>
      </c>
      <c r="Q403" s="10" t="str">
        <f aca="false">IF(D403&lt;&gt;"",D403-1,IF(OR(A403="",C403="",N(P403)&lt;=0),"",(N(B403)*60+C403-IFERROR(N(INDEX(Tracks!$G$2:$G$41,MATCH(A403,Tracks!$A$2:$A$41,0))),0))*P403/240))</f>
        <v/>
      </c>
      <c r="R403" s="9" t="str">
        <f aca="false">IF(Q403="","",INT(Q403)+1)</f>
        <v/>
      </c>
      <c r="S403" s="10" t="str">
        <f aca="false">IF(OR(Q403="",D403&lt;&gt;""),"",MIN(4.75,ROUND((Q403-INT(Q403))*16,0)/4+1))</f>
        <v/>
      </c>
      <c r="T403" s="11" t="str">
        <f aca="false">IF(OR(E403="",N(P403)&lt;=0),"",E403*P403/240)</f>
        <v/>
      </c>
      <c r="U403" s="9" t="str">
        <f aca="false">IF(Q403="","",IF(MIN(MOD(Q403,32),32-MOD(Q403,32))&lt;=0.25,32,IF(MIN(MOD(Q403,16),16-MOD(Q403,16))&lt;=0.25,16,IF(MIN(MOD(Q403,8),8-MOD(Q403,8))&lt;=0.25,8,""))))</f>
        <v/>
      </c>
      <c r="V403" s="9" t="str">
        <f aca="false">IF(OR(Q403="",T403=""),"",IF(MIN(MOD((Q403+T403),32),32-MOD((Q403+T403),32))&lt;=0.25,32,IF(MIN(MOD((Q403+T403),16),16-MOD((Q403+T403),16))&lt;=0.25,16,IF(MIN(MOD((Q403+T403),8),8-MOD((Q403+T403),8))&lt;=0.25,8,""))))</f>
        <v/>
      </c>
    </row>
    <row r="404" customFormat="false" ht="15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9" t="str">
        <f aca="false">IF(A404="","",IFERROR(INDEX(Tracks!$E$2:$E$41,MATCH(A404,Tracks!$A$2:$A$41,0)),"?"))</f>
        <v/>
      </c>
      <c r="P404" s="9" t="str">
        <f aca="false">IF(A404="","",IFERROR(N(INDEX(Tracks!$F$2:$F$41,MATCH(A404,Tracks!$A$2:$A$41,0))),""))</f>
        <v/>
      </c>
      <c r="Q404" s="10" t="str">
        <f aca="false">IF(D404&lt;&gt;"",D404-1,IF(OR(A404="",C404="",N(P404)&lt;=0),"",(N(B404)*60+C404-IFERROR(N(INDEX(Tracks!$G$2:$G$41,MATCH(A404,Tracks!$A$2:$A$41,0))),0))*P404/240))</f>
        <v/>
      </c>
      <c r="R404" s="9" t="str">
        <f aca="false">IF(Q404="","",INT(Q404)+1)</f>
        <v/>
      </c>
      <c r="S404" s="10" t="str">
        <f aca="false">IF(OR(Q404="",D404&lt;&gt;""),"",MIN(4.75,ROUND((Q404-INT(Q404))*16,0)/4+1))</f>
        <v/>
      </c>
      <c r="T404" s="11" t="str">
        <f aca="false">IF(OR(E404="",N(P404)&lt;=0),"",E404*P404/240)</f>
        <v/>
      </c>
      <c r="U404" s="9" t="str">
        <f aca="false">IF(Q404="","",IF(MIN(MOD(Q404,32),32-MOD(Q404,32))&lt;=0.25,32,IF(MIN(MOD(Q404,16),16-MOD(Q404,16))&lt;=0.25,16,IF(MIN(MOD(Q404,8),8-MOD(Q404,8))&lt;=0.25,8,""))))</f>
        <v/>
      </c>
      <c r="V404" s="9" t="str">
        <f aca="false">IF(OR(Q404="",T404=""),"",IF(MIN(MOD((Q404+T404),32),32-MOD((Q404+T404),32))&lt;=0.25,32,IF(MIN(MOD((Q404+T404),16),16-MOD((Q404+T404),16))&lt;=0.25,16,IF(MIN(MOD((Q404+T404),8),8-MOD((Q404+T404),8))&lt;=0.25,8,""))))</f>
        <v/>
      </c>
    </row>
    <row r="405" customFormat="false" ht="15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9" t="str">
        <f aca="false">IF(A405="","",IFERROR(INDEX(Tracks!$E$2:$E$41,MATCH(A405,Tracks!$A$2:$A$41,0)),"?"))</f>
        <v/>
      </c>
      <c r="P405" s="9" t="str">
        <f aca="false">IF(A405="","",IFERROR(N(INDEX(Tracks!$F$2:$F$41,MATCH(A405,Tracks!$A$2:$A$41,0))),""))</f>
        <v/>
      </c>
      <c r="Q405" s="10" t="str">
        <f aca="false">IF(D405&lt;&gt;"",D405-1,IF(OR(A405="",C405="",N(P405)&lt;=0),"",(N(B405)*60+C405-IFERROR(N(INDEX(Tracks!$G$2:$G$41,MATCH(A405,Tracks!$A$2:$A$41,0))),0))*P405/240))</f>
        <v/>
      </c>
      <c r="R405" s="9" t="str">
        <f aca="false">IF(Q405="","",INT(Q405)+1)</f>
        <v/>
      </c>
      <c r="S405" s="10" t="str">
        <f aca="false">IF(OR(Q405="",D405&lt;&gt;""),"",MIN(4.75,ROUND((Q405-INT(Q405))*16,0)/4+1))</f>
        <v/>
      </c>
      <c r="T405" s="11" t="str">
        <f aca="false">IF(OR(E405="",N(P405)&lt;=0),"",E405*P405/240)</f>
        <v/>
      </c>
      <c r="U405" s="9" t="str">
        <f aca="false">IF(Q405="","",IF(MIN(MOD(Q405,32),32-MOD(Q405,32))&lt;=0.25,32,IF(MIN(MOD(Q405,16),16-MOD(Q405,16))&lt;=0.25,16,IF(MIN(MOD(Q405,8),8-MOD(Q405,8))&lt;=0.25,8,""))))</f>
        <v/>
      </c>
      <c r="V405" s="9" t="str">
        <f aca="false">IF(OR(Q405="",T405=""),"",IF(MIN(MOD((Q405+T405),32),32-MOD((Q405+T405),32))&lt;=0.25,32,IF(MIN(MOD((Q405+T405),16),16-MOD((Q405+T405),16))&lt;=0.25,16,IF(MIN(MOD((Q405+T405),8),8-MOD((Q405+T405),8))&lt;=0.25,8,""))))</f>
        <v/>
      </c>
    </row>
    <row r="406" customFormat="false" ht="15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9" t="str">
        <f aca="false">IF(A406="","",IFERROR(INDEX(Tracks!$E$2:$E$41,MATCH(A406,Tracks!$A$2:$A$41,0)),"?"))</f>
        <v/>
      </c>
      <c r="P406" s="9" t="str">
        <f aca="false">IF(A406="","",IFERROR(N(INDEX(Tracks!$F$2:$F$41,MATCH(A406,Tracks!$A$2:$A$41,0))),""))</f>
        <v/>
      </c>
      <c r="Q406" s="10" t="str">
        <f aca="false">IF(D406&lt;&gt;"",D406-1,IF(OR(A406="",C406="",N(P406)&lt;=0),"",(N(B406)*60+C406-IFERROR(N(INDEX(Tracks!$G$2:$G$41,MATCH(A406,Tracks!$A$2:$A$41,0))),0))*P406/240))</f>
        <v/>
      </c>
      <c r="R406" s="9" t="str">
        <f aca="false">IF(Q406="","",INT(Q406)+1)</f>
        <v/>
      </c>
      <c r="S406" s="10" t="str">
        <f aca="false">IF(OR(Q406="",D406&lt;&gt;""),"",MIN(4.75,ROUND((Q406-INT(Q406))*16,0)/4+1))</f>
        <v/>
      </c>
      <c r="T406" s="11" t="str">
        <f aca="false">IF(OR(E406="",N(P406)&lt;=0),"",E406*P406/240)</f>
        <v/>
      </c>
      <c r="U406" s="9" t="str">
        <f aca="false">IF(Q406="","",IF(MIN(MOD(Q406,32),32-MOD(Q406,32))&lt;=0.25,32,IF(MIN(MOD(Q406,16),16-MOD(Q406,16))&lt;=0.25,16,IF(MIN(MOD(Q406,8),8-MOD(Q406,8))&lt;=0.25,8,""))))</f>
        <v/>
      </c>
      <c r="V406" s="9" t="str">
        <f aca="false">IF(OR(Q406="",T406=""),"",IF(MIN(MOD((Q406+T406),32),32-MOD((Q406+T406),32))&lt;=0.25,32,IF(MIN(MOD((Q406+T406),16),16-MOD((Q406+T406),16))&lt;=0.25,16,IF(MIN(MOD((Q406+T406),8),8-MOD((Q406+T406),8))&lt;=0.25,8,""))))</f>
        <v/>
      </c>
    </row>
    <row r="407" customFormat="false" ht="15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9" t="str">
        <f aca="false">IF(A407="","",IFERROR(INDEX(Tracks!$E$2:$E$41,MATCH(A407,Tracks!$A$2:$A$41,0)),"?"))</f>
        <v/>
      </c>
      <c r="P407" s="9" t="str">
        <f aca="false">IF(A407="","",IFERROR(N(INDEX(Tracks!$F$2:$F$41,MATCH(A407,Tracks!$A$2:$A$41,0))),""))</f>
        <v/>
      </c>
      <c r="Q407" s="10" t="str">
        <f aca="false">IF(D407&lt;&gt;"",D407-1,IF(OR(A407="",C407="",N(P407)&lt;=0),"",(N(B407)*60+C407-IFERROR(N(INDEX(Tracks!$G$2:$G$41,MATCH(A407,Tracks!$A$2:$A$41,0))),0))*P407/240))</f>
        <v/>
      </c>
      <c r="R407" s="9" t="str">
        <f aca="false">IF(Q407="","",INT(Q407)+1)</f>
        <v/>
      </c>
      <c r="S407" s="10" t="str">
        <f aca="false">IF(OR(Q407="",D407&lt;&gt;""),"",MIN(4.75,ROUND((Q407-INT(Q407))*16,0)/4+1))</f>
        <v/>
      </c>
      <c r="T407" s="11" t="str">
        <f aca="false">IF(OR(E407="",N(P407)&lt;=0),"",E407*P407/240)</f>
        <v/>
      </c>
      <c r="U407" s="9" t="str">
        <f aca="false">IF(Q407="","",IF(MIN(MOD(Q407,32),32-MOD(Q407,32))&lt;=0.25,32,IF(MIN(MOD(Q407,16),16-MOD(Q407,16))&lt;=0.25,16,IF(MIN(MOD(Q407,8),8-MOD(Q407,8))&lt;=0.25,8,""))))</f>
        <v/>
      </c>
      <c r="V407" s="9" t="str">
        <f aca="false">IF(OR(Q407="",T407=""),"",IF(MIN(MOD((Q407+T407),32),32-MOD((Q407+T407),32))&lt;=0.25,32,IF(MIN(MOD((Q407+T407),16),16-MOD((Q407+T407),16))&lt;=0.25,16,IF(MIN(MOD((Q407+T407),8),8-MOD((Q407+T407),8))&lt;=0.25,8,""))))</f>
        <v/>
      </c>
    </row>
    <row r="408" customFormat="false" ht="15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9" t="str">
        <f aca="false">IF(A408="","",IFERROR(INDEX(Tracks!$E$2:$E$41,MATCH(A408,Tracks!$A$2:$A$41,0)),"?"))</f>
        <v/>
      </c>
      <c r="P408" s="9" t="str">
        <f aca="false">IF(A408="","",IFERROR(N(INDEX(Tracks!$F$2:$F$41,MATCH(A408,Tracks!$A$2:$A$41,0))),""))</f>
        <v/>
      </c>
      <c r="Q408" s="10" t="str">
        <f aca="false">IF(D408&lt;&gt;"",D408-1,IF(OR(A408="",C408="",N(P408)&lt;=0),"",(N(B408)*60+C408-IFERROR(N(INDEX(Tracks!$G$2:$G$41,MATCH(A408,Tracks!$A$2:$A$41,0))),0))*P408/240))</f>
        <v/>
      </c>
      <c r="R408" s="9" t="str">
        <f aca="false">IF(Q408="","",INT(Q408)+1)</f>
        <v/>
      </c>
      <c r="S408" s="10" t="str">
        <f aca="false">IF(OR(Q408="",D408&lt;&gt;""),"",MIN(4.75,ROUND((Q408-INT(Q408))*16,0)/4+1))</f>
        <v/>
      </c>
      <c r="T408" s="11" t="str">
        <f aca="false">IF(OR(E408="",N(P408)&lt;=0),"",E408*P408/240)</f>
        <v/>
      </c>
      <c r="U408" s="9" t="str">
        <f aca="false">IF(Q408="","",IF(MIN(MOD(Q408,32),32-MOD(Q408,32))&lt;=0.25,32,IF(MIN(MOD(Q408,16),16-MOD(Q408,16))&lt;=0.25,16,IF(MIN(MOD(Q408,8),8-MOD(Q408,8))&lt;=0.25,8,""))))</f>
        <v/>
      </c>
      <c r="V408" s="9" t="str">
        <f aca="false">IF(OR(Q408="",T408=""),"",IF(MIN(MOD((Q408+T408),32),32-MOD((Q408+T408),32))&lt;=0.25,32,IF(MIN(MOD((Q408+T408),16),16-MOD((Q408+T408),16))&lt;=0.25,16,IF(MIN(MOD((Q408+T408),8),8-MOD((Q408+T408),8))&lt;=0.25,8,""))))</f>
        <v/>
      </c>
    </row>
    <row r="409" customFormat="false" ht="15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9" t="str">
        <f aca="false">IF(A409="","",IFERROR(INDEX(Tracks!$E$2:$E$41,MATCH(A409,Tracks!$A$2:$A$41,0)),"?"))</f>
        <v/>
      </c>
      <c r="P409" s="9" t="str">
        <f aca="false">IF(A409="","",IFERROR(N(INDEX(Tracks!$F$2:$F$41,MATCH(A409,Tracks!$A$2:$A$41,0))),""))</f>
        <v/>
      </c>
      <c r="Q409" s="10" t="str">
        <f aca="false">IF(D409&lt;&gt;"",D409-1,IF(OR(A409="",C409="",N(P409)&lt;=0),"",(N(B409)*60+C409-IFERROR(N(INDEX(Tracks!$G$2:$G$41,MATCH(A409,Tracks!$A$2:$A$41,0))),0))*P409/240))</f>
        <v/>
      </c>
      <c r="R409" s="9" t="str">
        <f aca="false">IF(Q409="","",INT(Q409)+1)</f>
        <v/>
      </c>
      <c r="S409" s="10" t="str">
        <f aca="false">IF(OR(Q409="",D409&lt;&gt;""),"",MIN(4.75,ROUND((Q409-INT(Q409))*16,0)/4+1))</f>
        <v/>
      </c>
      <c r="T409" s="11" t="str">
        <f aca="false">IF(OR(E409="",N(P409)&lt;=0),"",E409*P409/240)</f>
        <v/>
      </c>
      <c r="U409" s="9" t="str">
        <f aca="false">IF(Q409="","",IF(MIN(MOD(Q409,32),32-MOD(Q409,32))&lt;=0.25,32,IF(MIN(MOD(Q409,16),16-MOD(Q409,16))&lt;=0.25,16,IF(MIN(MOD(Q409,8),8-MOD(Q409,8))&lt;=0.25,8,""))))</f>
        <v/>
      </c>
      <c r="V409" s="9" t="str">
        <f aca="false">IF(OR(Q409="",T409=""),"",IF(MIN(MOD((Q409+T409),32),32-MOD((Q409+T409),32))&lt;=0.25,32,IF(MIN(MOD((Q409+T409),16),16-MOD((Q409+T409),16))&lt;=0.25,16,IF(MIN(MOD((Q409+T409),8),8-MOD((Q409+T409),8))&lt;=0.25,8,""))))</f>
        <v/>
      </c>
    </row>
    <row r="410" customFormat="false" ht="15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9" t="str">
        <f aca="false">IF(A410="","",IFERROR(INDEX(Tracks!$E$2:$E$41,MATCH(A410,Tracks!$A$2:$A$41,0)),"?"))</f>
        <v/>
      </c>
      <c r="P410" s="9" t="str">
        <f aca="false">IF(A410="","",IFERROR(N(INDEX(Tracks!$F$2:$F$41,MATCH(A410,Tracks!$A$2:$A$41,0))),""))</f>
        <v/>
      </c>
      <c r="Q410" s="10" t="str">
        <f aca="false">IF(D410&lt;&gt;"",D410-1,IF(OR(A410="",C410="",N(P410)&lt;=0),"",(N(B410)*60+C410-IFERROR(N(INDEX(Tracks!$G$2:$G$41,MATCH(A410,Tracks!$A$2:$A$41,0))),0))*P410/240))</f>
        <v/>
      </c>
      <c r="R410" s="9" t="str">
        <f aca="false">IF(Q410="","",INT(Q410)+1)</f>
        <v/>
      </c>
      <c r="S410" s="10" t="str">
        <f aca="false">IF(OR(Q410="",D410&lt;&gt;""),"",MIN(4.75,ROUND((Q410-INT(Q410))*16,0)/4+1))</f>
        <v/>
      </c>
      <c r="T410" s="11" t="str">
        <f aca="false">IF(OR(E410="",N(P410)&lt;=0),"",E410*P410/240)</f>
        <v/>
      </c>
      <c r="U410" s="9" t="str">
        <f aca="false">IF(Q410="","",IF(MIN(MOD(Q410,32),32-MOD(Q410,32))&lt;=0.25,32,IF(MIN(MOD(Q410,16),16-MOD(Q410,16))&lt;=0.25,16,IF(MIN(MOD(Q410,8),8-MOD(Q410,8))&lt;=0.25,8,""))))</f>
        <v/>
      </c>
      <c r="V410" s="9" t="str">
        <f aca="false">IF(OR(Q410="",T410=""),"",IF(MIN(MOD((Q410+T410),32),32-MOD((Q410+T410),32))&lt;=0.25,32,IF(MIN(MOD((Q410+T410),16),16-MOD((Q410+T410),16))&lt;=0.25,16,IF(MIN(MOD((Q410+T410),8),8-MOD((Q410+T410),8))&lt;=0.25,8,""))))</f>
        <v/>
      </c>
    </row>
    <row r="411" customFormat="false" ht="15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9" t="str">
        <f aca="false">IF(A411="","",IFERROR(INDEX(Tracks!$E$2:$E$41,MATCH(A411,Tracks!$A$2:$A$41,0)),"?"))</f>
        <v/>
      </c>
      <c r="P411" s="9" t="str">
        <f aca="false">IF(A411="","",IFERROR(N(INDEX(Tracks!$F$2:$F$41,MATCH(A411,Tracks!$A$2:$A$41,0))),""))</f>
        <v/>
      </c>
      <c r="Q411" s="10" t="str">
        <f aca="false">IF(D411&lt;&gt;"",D411-1,IF(OR(A411="",C411="",N(P411)&lt;=0),"",(N(B411)*60+C411-IFERROR(N(INDEX(Tracks!$G$2:$G$41,MATCH(A411,Tracks!$A$2:$A$41,0))),0))*P411/240))</f>
        <v/>
      </c>
      <c r="R411" s="9" t="str">
        <f aca="false">IF(Q411="","",INT(Q411)+1)</f>
        <v/>
      </c>
      <c r="S411" s="10" t="str">
        <f aca="false">IF(OR(Q411="",D411&lt;&gt;""),"",MIN(4.75,ROUND((Q411-INT(Q411))*16,0)/4+1))</f>
        <v/>
      </c>
      <c r="T411" s="11" t="str">
        <f aca="false">IF(OR(E411="",N(P411)&lt;=0),"",E411*P411/240)</f>
        <v/>
      </c>
      <c r="U411" s="9" t="str">
        <f aca="false">IF(Q411="","",IF(MIN(MOD(Q411,32),32-MOD(Q411,32))&lt;=0.25,32,IF(MIN(MOD(Q411,16),16-MOD(Q411,16))&lt;=0.25,16,IF(MIN(MOD(Q411,8),8-MOD(Q411,8))&lt;=0.25,8,""))))</f>
        <v/>
      </c>
      <c r="V411" s="9" t="str">
        <f aca="false">IF(OR(Q411="",T411=""),"",IF(MIN(MOD((Q411+T411),32),32-MOD((Q411+T411),32))&lt;=0.25,32,IF(MIN(MOD((Q411+T411),16),16-MOD((Q411+T411),16))&lt;=0.25,16,IF(MIN(MOD((Q411+T411),8),8-MOD((Q411+T411),8))&lt;=0.25,8,""))))</f>
        <v/>
      </c>
    </row>
    <row r="412" customFormat="false" ht="15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9" t="str">
        <f aca="false">IF(A412="","",IFERROR(INDEX(Tracks!$E$2:$E$41,MATCH(A412,Tracks!$A$2:$A$41,0)),"?"))</f>
        <v/>
      </c>
      <c r="P412" s="9" t="str">
        <f aca="false">IF(A412="","",IFERROR(N(INDEX(Tracks!$F$2:$F$41,MATCH(A412,Tracks!$A$2:$A$41,0))),""))</f>
        <v/>
      </c>
      <c r="Q412" s="10" t="str">
        <f aca="false">IF(D412&lt;&gt;"",D412-1,IF(OR(A412="",C412="",N(P412)&lt;=0),"",(N(B412)*60+C412-IFERROR(N(INDEX(Tracks!$G$2:$G$41,MATCH(A412,Tracks!$A$2:$A$41,0))),0))*P412/240))</f>
        <v/>
      </c>
      <c r="R412" s="9" t="str">
        <f aca="false">IF(Q412="","",INT(Q412)+1)</f>
        <v/>
      </c>
      <c r="S412" s="10" t="str">
        <f aca="false">IF(OR(Q412="",D412&lt;&gt;""),"",MIN(4.75,ROUND((Q412-INT(Q412))*16,0)/4+1))</f>
        <v/>
      </c>
      <c r="T412" s="11" t="str">
        <f aca="false">IF(OR(E412="",N(P412)&lt;=0),"",E412*P412/240)</f>
        <v/>
      </c>
      <c r="U412" s="9" t="str">
        <f aca="false">IF(Q412="","",IF(MIN(MOD(Q412,32),32-MOD(Q412,32))&lt;=0.25,32,IF(MIN(MOD(Q412,16),16-MOD(Q412,16))&lt;=0.25,16,IF(MIN(MOD(Q412,8),8-MOD(Q412,8))&lt;=0.25,8,""))))</f>
        <v/>
      </c>
      <c r="V412" s="9" t="str">
        <f aca="false">IF(OR(Q412="",T412=""),"",IF(MIN(MOD((Q412+T412),32),32-MOD((Q412+T412),32))&lt;=0.25,32,IF(MIN(MOD((Q412+T412),16),16-MOD((Q412+T412),16))&lt;=0.25,16,IF(MIN(MOD((Q412+T412),8),8-MOD((Q412+T412),8))&lt;=0.25,8,""))))</f>
        <v/>
      </c>
    </row>
    <row r="413" customFormat="false" ht="15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9" t="str">
        <f aca="false">IF(A413="","",IFERROR(INDEX(Tracks!$E$2:$E$41,MATCH(A413,Tracks!$A$2:$A$41,0)),"?"))</f>
        <v/>
      </c>
      <c r="P413" s="9" t="str">
        <f aca="false">IF(A413="","",IFERROR(N(INDEX(Tracks!$F$2:$F$41,MATCH(A413,Tracks!$A$2:$A$41,0))),""))</f>
        <v/>
      </c>
      <c r="Q413" s="10" t="str">
        <f aca="false">IF(D413&lt;&gt;"",D413-1,IF(OR(A413="",C413="",N(P413)&lt;=0),"",(N(B413)*60+C413-IFERROR(N(INDEX(Tracks!$G$2:$G$41,MATCH(A413,Tracks!$A$2:$A$41,0))),0))*P413/240))</f>
        <v/>
      </c>
      <c r="R413" s="9" t="str">
        <f aca="false">IF(Q413="","",INT(Q413)+1)</f>
        <v/>
      </c>
      <c r="S413" s="10" t="str">
        <f aca="false">IF(OR(Q413="",D413&lt;&gt;""),"",MIN(4.75,ROUND((Q413-INT(Q413))*16,0)/4+1))</f>
        <v/>
      </c>
      <c r="T413" s="11" t="str">
        <f aca="false">IF(OR(E413="",N(P413)&lt;=0),"",E413*P413/240)</f>
        <v/>
      </c>
      <c r="U413" s="9" t="str">
        <f aca="false">IF(Q413="","",IF(MIN(MOD(Q413,32),32-MOD(Q413,32))&lt;=0.25,32,IF(MIN(MOD(Q413,16),16-MOD(Q413,16))&lt;=0.25,16,IF(MIN(MOD(Q413,8),8-MOD(Q413,8))&lt;=0.25,8,""))))</f>
        <v/>
      </c>
      <c r="V413" s="9" t="str">
        <f aca="false">IF(OR(Q413="",T413=""),"",IF(MIN(MOD((Q413+T413),32),32-MOD((Q413+T413),32))&lt;=0.25,32,IF(MIN(MOD((Q413+T413),16),16-MOD((Q413+T413),16))&lt;=0.25,16,IF(MIN(MOD((Q413+T413),8),8-MOD((Q413+T413),8))&lt;=0.25,8,""))))</f>
        <v/>
      </c>
    </row>
    <row r="414" customFormat="false" ht="15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9" t="str">
        <f aca="false">IF(A414="","",IFERROR(INDEX(Tracks!$E$2:$E$41,MATCH(A414,Tracks!$A$2:$A$41,0)),"?"))</f>
        <v/>
      </c>
      <c r="P414" s="9" t="str">
        <f aca="false">IF(A414="","",IFERROR(N(INDEX(Tracks!$F$2:$F$41,MATCH(A414,Tracks!$A$2:$A$41,0))),""))</f>
        <v/>
      </c>
      <c r="Q414" s="10" t="str">
        <f aca="false">IF(D414&lt;&gt;"",D414-1,IF(OR(A414="",C414="",N(P414)&lt;=0),"",(N(B414)*60+C414-IFERROR(N(INDEX(Tracks!$G$2:$G$41,MATCH(A414,Tracks!$A$2:$A$41,0))),0))*P414/240))</f>
        <v/>
      </c>
      <c r="R414" s="9" t="str">
        <f aca="false">IF(Q414="","",INT(Q414)+1)</f>
        <v/>
      </c>
      <c r="S414" s="10" t="str">
        <f aca="false">IF(OR(Q414="",D414&lt;&gt;""),"",MIN(4.75,ROUND((Q414-INT(Q414))*16,0)/4+1))</f>
        <v/>
      </c>
      <c r="T414" s="11" t="str">
        <f aca="false">IF(OR(E414="",N(P414)&lt;=0),"",E414*P414/240)</f>
        <v/>
      </c>
      <c r="U414" s="9" t="str">
        <f aca="false">IF(Q414="","",IF(MIN(MOD(Q414,32),32-MOD(Q414,32))&lt;=0.25,32,IF(MIN(MOD(Q414,16),16-MOD(Q414,16))&lt;=0.25,16,IF(MIN(MOD(Q414,8),8-MOD(Q414,8))&lt;=0.25,8,""))))</f>
        <v/>
      </c>
      <c r="V414" s="9" t="str">
        <f aca="false">IF(OR(Q414="",T414=""),"",IF(MIN(MOD((Q414+T414),32),32-MOD((Q414+T414),32))&lt;=0.25,32,IF(MIN(MOD((Q414+T414),16),16-MOD((Q414+T414),16))&lt;=0.25,16,IF(MIN(MOD((Q414+T414),8),8-MOD((Q414+T414),8))&lt;=0.25,8,""))))</f>
        <v/>
      </c>
    </row>
    <row r="415" customFormat="false" ht="15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9" t="str">
        <f aca="false">IF(A415="","",IFERROR(INDEX(Tracks!$E$2:$E$41,MATCH(A415,Tracks!$A$2:$A$41,0)),"?"))</f>
        <v/>
      </c>
      <c r="P415" s="9" t="str">
        <f aca="false">IF(A415="","",IFERROR(N(INDEX(Tracks!$F$2:$F$41,MATCH(A415,Tracks!$A$2:$A$41,0))),""))</f>
        <v/>
      </c>
      <c r="Q415" s="10" t="str">
        <f aca="false">IF(D415&lt;&gt;"",D415-1,IF(OR(A415="",C415="",N(P415)&lt;=0),"",(N(B415)*60+C415-IFERROR(N(INDEX(Tracks!$G$2:$G$41,MATCH(A415,Tracks!$A$2:$A$41,0))),0))*P415/240))</f>
        <v/>
      </c>
      <c r="R415" s="9" t="str">
        <f aca="false">IF(Q415="","",INT(Q415)+1)</f>
        <v/>
      </c>
      <c r="S415" s="10" t="str">
        <f aca="false">IF(OR(Q415="",D415&lt;&gt;""),"",MIN(4.75,ROUND((Q415-INT(Q415))*16,0)/4+1))</f>
        <v/>
      </c>
      <c r="T415" s="11" t="str">
        <f aca="false">IF(OR(E415="",N(P415)&lt;=0),"",E415*P415/240)</f>
        <v/>
      </c>
      <c r="U415" s="9" t="str">
        <f aca="false">IF(Q415="","",IF(MIN(MOD(Q415,32),32-MOD(Q415,32))&lt;=0.25,32,IF(MIN(MOD(Q415,16),16-MOD(Q415,16))&lt;=0.25,16,IF(MIN(MOD(Q415,8),8-MOD(Q415,8))&lt;=0.25,8,""))))</f>
        <v/>
      </c>
      <c r="V415" s="9" t="str">
        <f aca="false">IF(OR(Q415="",T415=""),"",IF(MIN(MOD((Q415+T415),32),32-MOD((Q415+T415),32))&lt;=0.25,32,IF(MIN(MOD((Q415+T415),16),16-MOD((Q415+T415),16))&lt;=0.25,16,IF(MIN(MOD((Q415+T415),8),8-MOD((Q415+T415),8))&lt;=0.25,8,""))))</f>
        <v/>
      </c>
    </row>
    <row r="416" customFormat="false" ht="15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9" t="str">
        <f aca="false">IF(A416="","",IFERROR(INDEX(Tracks!$E$2:$E$41,MATCH(A416,Tracks!$A$2:$A$41,0)),"?"))</f>
        <v/>
      </c>
      <c r="P416" s="9" t="str">
        <f aca="false">IF(A416="","",IFERROR(N(INDEX(Tracks!$F$2:$F$41,MATCH(A416,Tracks!$A$2:$A$41,0))),""))</f>
        <v/>
      </c>
      <c r="Q416" s="10" t="str">
        <f aca="false">IF(D416&lt;&gt;"",D416-1,IF(OR(A416="",C416="",N(P416)&lt;=0),"",(N(B416)*60+C416-IFERROR(N(INDEX(Tracks!$G$2:$G$41,MATCH(A416,Tracks!$A$2:$A$41,0))),0))*P416/240))</f>
        <v/>
      </c>
      <c r="R416" s="9" t="str">
        <f aca="false">IF(Q416="","",INT(Q416)+1)</f>
        <v/>
      </c>
      <c r="S416" s="10" t="str">
        <f aca="false">IF(OR(Q416="",D416&lt;&gt;""),"",MIN(4.75,ROUND((Q416-INT(Q416))*16,0)/4+1))</f>
        <v/>
      </c>
      <c r="T416" s="11" t="str">
        <f aca="false">IF(OR(E416="",N(P416)&lt;=0),"",E416*P416/240)</f>
        <v/>
      </c>
      <c r="U416" s="9" t="str">
        <f aca="false">IF(Q416="","",IF(MIN(MOD(Q416,32),32-MOD(Q416,32))&lt;=0.25,32,IF(MIN(MOD(Q416,16),16-MOD(Q416,16))&lt;=0.25,16,IF(MIN(MOD(Q416,8),8-MOD(Q416,8))&lt;=0.25,8,""))))</f>
        <v/>
      </c>
      <c r="V416" s="9" t="str">
        <f aca="false">IF(OR(Q416="",T416=""),"",IF(MIN(MOD((Q416+T416),32),32-MOD((Q416+T416),32))&lt;=0.25,32,IF(MIN(MOD((Q416+T416),16),16-MOD((Q416+T416),16))&lt;=0.25,16,IF(MIN(MOD((Q416+T416),8),8-MOD((Q416+T416),8))&lt;=0.25,8,""))))</f>
        <v/>
      </c>
    </row>
    <row r="417" customFormat="false" ht="15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9" t="str">
        <f aca="false">IF(A417="","",IFERROR(INDEX(Tracks!$E$2:$E$41,MATCH(A417,Tracks!$A$2:$A$41,0)),"?"))</f>
        <v/>
      </c>
      <c r="P417" s="9" t="str">
        <f aca="false">IF(A417="","",IFERROR(N(INDEX(Tracks!$F$2:$F$41,MATCH(A417,Tracks!$A$2:$A$41,0))),""))</f>
        <v/>
      </c>
      <c r="Q417" s="10" t="str">
        <f aca="false">IF(D417&lt;&gt;"",D417-1,IF(OR(A417="",C417="",N(P417)&lt;=0),"",(N(B417)*60+C417-IFERROR(N(INDEX(Tracks!$G$2:$G$41,MATCH(A417,Tracks!$A$2:$A$41,0))),0))*P417/240))</f>
        <v/>
      </c>
      <c r="R417" s="9" t="str">
        <f aca="false">IF(Q417="","",INT(Q417)+1)</f>
        <v/>
      </c>
      <c r="S417" s="10" t="str">
        <f aca="false">IF(OR(Q417="",D417&lt;&gt;""),"",MIN(4.75,ROUND((Q417-INT(Q417))*16,0)/4+1))</f>
        <v/>
      </c>
      <c r="T417" s="11" t="str">
        <f aca="false">IF(OR(E417="",N(P417)&lt;=0),"",E417*P417/240)</f>
        <v/>
      </c>
      <c r="U417" s="9" t="str">
        <f aca="false">IF(Q417="","",IF(MIN(MOD(Q417,32),32-MOD(Q417,32))&lt;=0.25,32,IF(MIN(MOD(Q417,16),16-MOD(Q417,16))&lt;=0.25,16,IF(MIN(MOD(Q417,8),8-MOD(Q417,8))&lt;=0.25,8,""))))</f>
        <v/>
      </c>
      <c r="V417" s="9" t="str">
        <f aca="false">IF(OR(Q417="",T417=""),"",IF(MIN(MOD((Q417+T417),32),32-MOD((Q417+T417),32))&lt;=0.25,32,IF(MIN(MOD((Q417+T417),16),16-MOD((Q417+T417),16))&lt;=0.25,16,IF(MIN(MOD((Q417+T417),8),8-MOD((Q417+T417),8))&lt;=0.25,8,""))))</f>
        <v/>
      </c>
    </row>
    <row r="418" customFormat="false" ht="15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9" t="str">
        <f aca="false">IF(A418="","",IFERROR(INDEX(Tracks!$E$2:$E$41,MATCH(A418,Tracks!$A$2:$A$41,0)),"?"))</f>
        <v/>
      </c>
      <c r="P418" s="9" t="str">
        <f aca="false">IF(A418="","",IFERROR(N(INDEX(Tracks!$F$2:$F$41,MATCH(A418,Tracks!$A$2:$A$41,0))),""))</f>
        <v/>
      </c>
      <c r="Q418" s="10" t="str">
        <f aca="false">IF(D418&lt;&gt;"",D418-1,IF(OR(A418="",C418="",N(P418)&lt;=0),"",(N(B418)*60+C418-IFERROR(N(INDEX(Tracks!$G$2:$G$41,MATCH(A418,Tracks!$A$2:$A$41,0))),0))*P418/240))</f>
        <v/>
      </c>
      <c r="R418" s="9" t="str">
        <f aca="false">IF(Q418="","",INT(Q418)+1)</f>
        <v/>
      </c>
      <c r="S418" s="10" t="str">
        <f aca="false">IF(OR(Q418="",D418&lt;&gt;""),"",MIN(4.75,ROUND((Q418-INT(Q418))*16,0)/4+1))</f>
        <v/>
      </c>
      <c r="T418" s="11" t="str">
        <f aca="false">IF(OR(E418="",N(P418)&lt;=0),"",E418*P418/240)</f>
        <v/>
      </c>
      <c r="U418" s="9" t="str">
        <f aca="false">IF(Q418="","",IF(MIN(MOD(Q418,32),32-MOD(Q418,32))&lt;=0.25,32,IF(MIN(MOD(Q418,16),16-MOD(Q418,16))&lt;=0.25,16,IF(MIN(MOD(Q418,8),8-MOD(Q418,8))&lt;=0.25,8,""))))</f>
        <v/>
      </c>
      <c r="V418" s="9" t="str">
        <f aca="false">IF(OR(Q418="",T418=""),"",IF(MIN(MOD((Q418+T418),32),32-MOD((Q418+T418),32))&lt;=0.25,32,IF(MIN(MOD((Q418+T418),16),16-MOD((Q418+T418),16))&lt;=0.25,16,IF(MIN(MOD((Q418+T418),8),8-MOD((Q418+T418),8))&lt;=0.25,8,""))))</f>
        <v/>
      </c>
    </row>
    <row r="419" customFormat="false" ht="15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9" t="str">
        <f aca="false">IF(A419="","",IFERROR(INDEX(Tracks!$E$2:$E$41,MATCH(A419,Tracks!$A$2:$A$41,0)),"?"))</f>
        <v/>
      </c>
      <c r="P419" s="9" t="str">
        <f aca="false">IF(A419="","",IFERROR(N(INDEX(Tracks!$F$2:$F$41,MATCH(A419,Tracks!$A$2:$A$41,0))),""))</f>
        <v/>
      </c>
      <c r="Q419" s="10" t="str">
        <f aca="false">IF(D419&lt;&gt;"",D419-1,IF(OR(A419="",C419="",N(P419)&lt;=0),"",(N(B419)*60+C419-IFERROR(N(INDEX(Tracks!$G$2:$G$41,MATCH(A419,Tracks!$A$2:$A$41,0))),0))*P419/240))</f>
        <v/>
      </c>
      <c r="R419" s="9" t="str">
        <f aca="false">IF(Q419="","",INT(Q419)+1)</f>
        <v/>
      </c>
      <c r="S419" s="10" t="str">
        <f aca="false">IF(OR(Q419="",D419&lt;&gt;""),"",MIN(4.75,ROUND((Q419-INT(Q419))*16,0)/4+1))</f>
        <v/>
      </c>
      <c r="T419" s="11" t="str">
        <f aca="false">IF(OR(E419="",N(P419)&lt;=0),"",E419*P419/240)</f>
        <v/>
      </c>
      <c r="U419" s="9" t="str">
        <f aca="false">IF(Q419="","",IF(MIN(MOD(Q419,32),32-MOD(Q419,32))&lt;=0.25,32,IF(MIN(MOD(Q419,16),16-MOD(Q419,16))&lt;=0.25,16,IF(MIN(MOD(Q419,8),8-MOD(Q419,8))&lt;=0.25,8,""))))</f>
        <v/>
      </c>
      <c r="V419" s="9" t="str">
        <f aca="false">IF(OR(Q419="",T419=""),"",IF(MIN(MOD((Q419+T419),32),32-MOD((Q419+T419),32))&lt;=0.25,32,IF(MIN(MOD((Q419+T419),16),16-MOD((Q419+T419),16))&lt;=0.25,16,IF(MIN(MOD((Q419+T419),8),8-MOD((Q419+T419),8))&lt;=0.25,8,""))))</f>
        <v/>
      </c>
    </row>
    <row r="420" customFormat="false" ht="15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9" t="str">
        <f aca="false">IF(A420="","",IFERROR(INDEX(Tracks!$E$2:$E$41,MATCH(A420,Tracks!$A$2:$A$41,0)),"?"))</f>
        <v/>
      </c>
      <c r="P420" s="9" t="str">
        <f aca="false">IF(A420="","",IFERROR(N(INDEX(Tracks!$F$2:$F$41,MATCH(A420,Tracks!$A$2:$A$41,0))),""))</f>
        <v/>
      </c>
      <c r="Q420" s="10" t="str">
        <f aca="false">IF(D420&lt;&gt;"",D420-1,IF(OR(A420="",C420="",N(P420)&lt;=0),"",(N(B420)*60+C420-IFERROR(N(INDEX(Tracks!$G$2:$G$41,MATCH(A420,Tracks!$A$2:$A$41,0))),0))*P420/240))</f>
        <v/>
      </c>
      <c r="R420" s="9" t="str">
        <f aca="false">IF(Q420="","",INT(Q420)+1)</f>
        <v/>
      </c>
      <c r="S420" s="10" t="str">
        <f aca="false">IF(OR(Q420="",D420&lt;&gt;""),"",MIN(4.75,ROUND((Q420-INT(Q420))*16,0)/4+1))</f>
        <v/>
      </c>
      <c r="T420" s="11" t="str">
        <f aca="false">IF(OR(E420="",N(P420)&lt;=0),"",E420*P420/240)</f>
        <v/>
      </c>
      <c r="U420" s="9" t="str">
        <f aca="false">IF(Q420="","",IF(MIN(MOD(Q420,32),32-MOD(Q420,32))&lt;=0.25,32,IF(MIN(MOD(Q420,16),16-MOD(Q420,16))&lt;=0.25,16,IF(MIN(MOD(Q420,8),8-MOD(Q420,8))&lt;=0.25,8,""))))</f>
        <v/>
      </c>
      <c r="V420" s="9" t="str">
        <f aca="false">IF(OR(Q420="",T420=""),"",IF(MIN(MOD((Q420+T420),32),32-MOD((Q420+T420),32))&lt;=0.25,32,IF(MIN(MOD((Q420+T420),16),16-MOD((Q420+T420),16))&lt;=0.25,16,IF(MIN(MOD((Q420+T420),8),8-MOD((Q420+T420),8))&lt;=0.25,8,""))))</f>
        <v/>
      </c>
    </row>
    <row r="421" customFormat="false" ht="15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9" t="str">
        <f aca="false">IF(A421="","",IFERROR(INDEX(Tracks!$E$2:$E$41,MATCH(A421,Tracks!$A$2:$A$41,0)),"?"))</f>
        <v/>
      </c>
      <c r="P421" s="9" t="str">
        <f aca="false">IF(A421="","",IFERROR(N(INDEX(Tracks!$F$2:$F$41,MATCH(A421,Tracks!$A$2:$A$41,0))),""))</f>
        <v/>
      </c>
      <c r="Q421" s="10" t="str">
        <f aca="false">IF(D421&lt;&gt;"",D421-1,IF(OR(A421="",C421="",N(P421)&lt;=0),"",(N(B421)*60+C421-IFERROR(N(INDEX(Tracks!$G$2:$G$41,MATCH(A421,Tracks!$A$2:$A$41,0))),0))*P421/240))</f>
        <v/>
      </c>
      <c r="R421" s="9" t="str">
        <f aca="false">IF(Q421="","",INT(Q421)+1)</f>
        <v/>
      </c>
      <c r="S421" s="10" t="str">
        <f aca="false">IF(OR(Q421="",D421&lt;&gt;""),"",MIN(4.75,ROUND((Q421-INT(Q421))*16,0)/4+1))</f>
        <v/>
      </c>
      <c r="T421" s="11" t="str">
        <f aca="false">IF(OR(E421="",N(P421)&lt;=0),"",E421*P421/240)</f>
        <v/>
      </c>
      <c r="U421" s="9" t="str">
        <f aca="false">IF(Q421="","",IF(MIN(MOD(Q421,32),32-MOD(Q421,32))&lt;=0.25,32,IF(MIN(MOD(Q421,16),16-MOD(Q421,16))&lt;=0.25,16,IF(MIN(MOD(Q421,8),8-MOD(Q421,8))&lt;=0.25,8,""))))</f>
        <v/>
      </c>
      <c r="V421" s="9" t="str">
        <f aca="false">IF(OR(Q421="",T421=""),"",IF(MIN(MOD((Q421+T421),32),32-MOD((Q421+T421),32))&lt;=0.25,32,IF(MIN(MOD((Q421+T421),16),16-MOD((Q421+T421),16))&lt;=0.25,16,IF(MIN(MOD((Q421+T421),8),8-MOD((Q421+T421),8))&lt;=0.25,8,""))))</f>
        <v/>
      </c>
    </row>
    <row r="422" customFormat="false" ht="15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9" t="str">
        <f aca="false">IF(A422="","",IFERROR(INDEX(Tracks!$E$2:$E$41,MATCH(A422,Tracks!$A$2:$A$41,0)),"?"))</f>
        <v/>
      </c>
      <c r="P422" s="9" t="str">
        <f aca="false">IF(A422="","",IFERROR(N(INDEX(Tracks!$F$2:$F$41,MATCH(A422,Tracks!$A$2:$A$41,0))),""))</f>
        <v/>
      </c>
      <c r="Q422" s="10" t="str">
        <f aca="false">IF(D422&lt;&gt;"",D422-1,IF(OR(A422="",C422="",N(P422)&lt;=0),"",(N(B422)*60+C422-IFERROR(N(INDEX(Tracks!$G$2:$G$41,MATCH(A422,Tracks!$A$2:$A$41,0))),0))*P422/240))</f>
        <v/>
      </c>
      <c r="R422" s="9" t="str">
        <f aca="false">IF(Q422="","",INT(Q422)+1)</f>
        <v/>
      </c>
      <c r="S422" s="10" t="str">
        <f aca="false">IF(OR(Q422="",D422&lt;&gt;""),"",MIN(4.75,ROUND((Q422-INT(Q422))*16,0)/4+1))</f>
        <v/>
      </c>
      <c r="T422" s="11" t="str">
        <f aca="false">IF(OR(E422="",N(P422)&lt;=0),"",E422*P422/240)</f>
        <v/>
      </c>
      <c r="U422" s="9" t="str">
        <f aca="false">IF(Q422="","",IF(MIN(MOD(Q422,32),32-MOD(Q422,32))&lt;=0.25,32,IF(MIN(MOD(Q422,16),16-MOD(Q422,16))&lt;=0.25,16,IF(MIN(MOD(Q422,8),8-MOD(Q422,8))&lt;=0.25,8,""))))</f>
        <v/>
      </c>
      <c r="V422" s="9" t="str">
        <f aca="false">IF(OR(Q422="",T422=""),"",IF(MIN(MOD((Q422+T422),32),32-MOD((Q422+T422),32))&lt;=0.25,32,IF(MIN(MOD((Q422+T422),16),16-MOD((Q422+T422),16))&lt;=0.25,16,IF(MIN(MOD((Q422+T422),8),8-MOD((Q422+T422),8))&lt;=0.25,8,""))))</f>
        <v/>
      </c>
    </row>
    <row r="423" customFormat="false" ht="15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9" t="str">
        <f aca="false">IF(A423="","",IFERROR(INDEX(Tracks!$E$2:$E$41,MATCH(A423,Tracks!$A$2:$A$41,0)),"?"))</f>
        <v/>
      </c>
      <c r="P423" s="9" t="str">
        <f aca="false">IF(A423="","",IFERROR(N(INDEX(Tracks!$F$2:$F$41,MATCH(A423,Tracks!$A$2:$A$41,0))),""))</f>
        <v/>
      </c>
      <c r="Q423" s="10" t="str">
        <f aca="false">IF(D423&lt;&gt;"",D423-1,IF(OR(A423="",C423="",N(P423)&lt;=0),"",(N(B423)*60+C423-IFERROR(N(INDEX(Tracks!$G$2:$G$41,MATCH(A423,Tracks!$A$2:$A$41,0))),0))*P423/240))</f>
        <v/>
      </c>
      <c r="R423" s="9" t="str">
        <f aca="false">IF(Q423="","",INT(Q423)+1)</f>
        <v/>
      </c>
      <c r="S423" s="10" t="str">
        <f aca="false">IF(OR(Q423="",D423&lt;&gt;""),"",MIN(4.75,ROUND((Q423-INT(Q423))*16,0)/4+1))</f>
        <v/>
      </c>
      <c r="T423" s="11" t="str">
        <f aca="false">IF(OR(E423="",N(P423)&lt;=0),"",E423*P423/240)</f>
        <v/>
      </c>
      <c r="U423" s="9" t="str">
        <f aca="false">IF(Q423="","",IF(MIN(MOD(Q423,32),32-MOD(Q423,32))&lt;=0.25,32,IF(MIN(MOD(Q423,16),16-MOD(Q423,16))&lt;=0.25,16,IF(MIN(MOD(Q423,8),8-MOD(Q423,8))&lt;=0.25,8,""))))</f>
        <v/>
      </c>
      <c r="V423" s="9" t="str">
        <f aca="false">IF(OR(Q423="",T423=""),"",IF(MIN(MOD((Q423+T423),32),32-MOD((Q423+T423),32))&lt;=0.25,32,IF(MIN(MOD((Q423+T423),16),16-MOD((Q423+T423),16))&lt;=0.25,16,IF(MIN(MOD((Q423+T423),8),8-MOD((Q423+T423),8))&lt;=0.25,8,""))))</f>
        <v/>
      </c>
    </row>
    <row r="424" customFormat="false" ht="15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9" t="str">
        <f aca="false">IF(A424="","",IFERROR(INDEX(Tracks!$E$2:$E$41,MATCH(A424,Tracks!$A$2:$A$41,0)),"?"))</f>
        <v/>
      </c>
      <c r="P424" s="9" t="str">
        <f aca="false">IF(A424="","",IFERROR(N(INDEX(Tracks!$F$2:$F$41,MATCH(A424,Tracks!$A$2:$A$41,0))),""))</f>
        <v/>
      </c>
      <c r="Q424" s="10" t="str">
        <f aca="false">IF(D424&lt;&gt;"",D424-1,IF(OR(A424="",C424="",N(P424)&lt;=0),"",(N(B424)*60+C424-IFERROR(N(INDEX(Tracks!$G$2:$G$41,MATCH(A424,Tracks!$A$2:$A$41,0))),0))*P424/240))</f>
        <v/>
      </c>
      <c r="R424" s="9" t="str">
        <f aca="false">IF(Q424="","",INT(Q424)+1)</f>
        <v/>
      </c>
      <c r="S424" s="10" t="str">
        <f aca="false">IF(OR(Q424="",D424&lt;&gt;""),"",MIN(4.75,ROUND((Q424-INT(Q424))*16,0)/4+1))</f>
        <v/>
      </c>
      <c r="T424" s="11" t="str">
        <f aca="false">IF(OR(E424="",N(P424)&lt;=0),"",E424*P424/240)</f>
        <v/>
      </c>
      <c r="U424" s="9" t="str">
        <f aca="false">IF(Q424="","",IF(MIN(MOD(Q424,32),32-MOD(Q424,32))&lt;=0.25,32,IF(MIN(MOD(Q424,16),16-MOD(Q424,16))&lt;=0.25,16,IF(MIN(MOD(Q424,8),8-MOD(Q424,8))&lt;=0.25,8,""))))</f>
        <v/>
      </c>
      <c r="V424" s="9" t="str">
        <f aca="false">IF(OR(Q424="",T424=""),"",IF(MIN(MOD((Q424+T424),32),32-MOD((Q424+T424),32))&lt;=0.25,32,IF(MIN(MOD((Q424+T424),16),16-MOD((Q424+T424),16))&lt;=0.25,16,IF(MIN(MOD((Q424+T424),8),8-MOD((Q424+T424),8))&lt;=0.25,8,""))))</f>
        <v/>
      </c>
    </row>
    <row r="425" customFormat="false" ht="15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9" t="str">
        <f aca="false">IF(A425="","",IFERROR(INDEX(Tracks!$E$2:$E$41,MATCH(A425,Tracks!$A$2:$A$41,0)),"?"))</f>
        <v/>
      </c>
      <c r="P425" s="9" t="str">
        <f aca="false">IF(A425="","",IFERROR(N(INDEX(Tracks!$F$2:$F$41,MATCH(A425,Tracks!$A$2:$A$41,0))),""))</f>
        <v/>
      </c>
      <c r="Q425" s="10" t="str">
        <f aca="false">IF(D425&lt;&gt;"",D425-1,IF(OR(A425="",C425="",N(P425)&lt;=0),"",(N(B425)*60+C425-IFERROR(N(INDEX(Tracks!$G$2:$G$41,MATCH(A425,Tracks!$A$2:$A$41,0))),0))*P425/240))</f>
        <v/>
      </c>
      <c r="R425" s="9" t="str">
        <f aca="false">IF(Q425="","",INT(Q425)+1)</f>
        <v/>
      </c>
      <c r="S425" s="10" t="str">
        <f aca="false">IF(OR(Q425="",D425&lt;&gt;""),"",MIN(4.75,ROUND((Q425-INT(Q425))*16,0)/4+1))</f>
        <v/>
      </c>
      <c r="T425" s="11" t="str">
        <f aca="false">IF(OR(E425="",N(P425)&lt;=0),"",E425*P425/240)</f>
        <v/>
      </c>
      <c r="U425" s="9" t="str">
        <f aca="false">IF(Q425="","",IF(MIN(MOD(Q425,32),32-MOD(Q425,32))&lt;=0.25,32,IF(MIN(MOD(Q425,16),16-MOD(Q425,16))&lt;=0.25,16,IF(MIN(MOD(Q425,8),8-MOD(Q425,8))&lt;=0.25,8,""))))</f>
        <v/>
      </c>
      <c r="V425" s="9" t="str">
        <f aca="false">IF(OR(Q425="",T425=""),"",IF(MIN(MOD((Q425+T425),32),32-MOD((Q425+T425),32))&lt;=0.25,32,IF(MIN(MOD((Q425+T425),16),16-MOD((Q425+T425),16))&lt;=0.25,16,IF(MIN(MOD((Q425+T425),8),8-MOD((Q425+T425),8))&lt;=0.25,8,""))))</f>
        <v/>
      </c>
    </row>
    <row r="426" customFormat="false" ht="15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9" t="str">
        <f aca="false">IF(A426="","",IFERROR(INDEX(Tracks!$E$2:$E$41,MATCH(A426,Tracks!$A$2:$A$41,0)),"?"))</f>
        <v/>
      </c>
      <c r="P426" s="9" t="str">
        <f aca="false">IF(A426="","",IFERROR(N(INDEX(Tracks!$F$2:$F$41,MATCH(A426,Tracks!$A$2:$A$41,0))),""))</f>
        <v/>
      </c>
      <c r="Q426" s="10" t="str">
        <f aca="false">IF(D426&lt;&gt;"",D426-1,IF(OR(A426="",C426="",N(P426)&lt;=0),"",(N(B426)*60+C426-IFERROR(N(INDEX(Tracks!$G$2:$G$41,MATCH(A426,Tracks!$A$2:$A$41,0))),0))*P426/240))</f>
        <v/>
      </c>
      <c r="R426" s="9" t="str">
        <f aca="false">IF(Q426="","",INT(Q426)+1)</f>
        <v/>
      </c>
      <c r="S426" s="10" t="str">
        <f aca="false">IF(OR(Q426="",D426&lt;&gt;""),"",MIN(4.75,ROUND((Q426-INT(Q426))*16,0)/4+1))</f>
        <v/>
      </c>
      <c r="T426" s="11" t="str">
        <f aca="false">IF(OR(E426="",N(P426)&lt;=0),"",E426*P426/240)</f>
        <v/>
      </c>
      <c r="U426" s="9" t="str">
        <f aca="false">IF(Q426="","",IF(MIN(MOD(Q426,32),32-MOD(Q426,32))&lt;=0.25,32,IF(MIN(MOD(Q426,16),16-MOD(Q426,16))&lt;=0.25,16,IF(MIN(MOD(Q426,8),8-MOD(Q426,8))&lt;=0.25,8,""))))</f>
        <v/>
      </c>
      <c r="V426" s="9" t="str">
        <f aca="false">IF(OR(Q426="",T426=""),"",IF(MIN(MOD((Q426+T426),32),32-MOD((Q426+T426),32))&lt;=0.25,32,IF(MIN(MOD((Q426+T426),16),16-MOD((Q426+T426),16))&lt;=0.25,16,IF(MIN(MOD((Q426+T426),8),8-MOD((Q426+T426),8))&lt;=0.25,8,""))))</f>
        <v/>
      </c>
    </row>
    <row r="427" customFormat="false" ht="15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9" t="str">
        <f aca="false">IF(A427="","",IFERROR(INDEX(Tracks!$E$2:$E$41,MATCH(A427,Tracks!$A$2:$A$41,0)),"?"))</f>
        <v/>
      </c>
      <c r="P427" s="9" t="str">
        <f aca="false">IF(A427="","",IFERROR(N(INDEX(Tracks!$F$2:$F$41,MATCH(A427,Tracks!$A$2:$A$41,0))),""))</f>
        <v/>
      </c>
      <c r="Q427" s="10" t="str">
        <f aca="false">IF(D427&lt;&gt;"",D427-1,IF(OR(A427="",C427="",N(P427)&lt;=0),"",(N(B427)*60+C427-IFERROR(N(INDEX(Tracks!$G$2:$G$41,MATCH(A427,Tracks!$A$2:$A$41,0))),0))*P427/240))</f>
        <v/>
      </c>
      <c r="R427" s="9" t="str">
        <f aca="false">IF(Q427="","",INT(Q427)+1)</f>
        <v/>
      </c>
      <c r="S427" s="10" t="str">
        <f aca="false">IF(OR(Q427="",D427&lt;&gt;""),"",MIN(4.75,ROUND((Q427-INT(Q427))*16,0)/4+1))</f>
        <v/>
      </c>
      <c r="T427" s="11" t="str">
        <f aca="false">IF(OR(E427="",N(P427)&lt;=0),"",E427*P427/240)</f>
        <v/>
      </c>
      <c r="U427" s="9" t="str">
        <f aca="false">IF(Q427="","",IF(MIN(MOD(Q427,32),32-MOD(Q427,32))&lt;=0.25,32,IF(MIN(MOD(Q427,16),16-MOD(Q427,16))&lt;=0.25,16,IF(MIN(MOD(Q427,8),8-MOD(Q427,8))&lt;=0.25,8,""))))</f>
        <v/>
      </c>
      <c r="V427" s="9" t="str">
        <f aca="false">IF(OR(Q427="",T427=""),"",IF(MIN(MOD((Q427+T427),32),32-MOD((Q427+T427),32))&lt;=0.25,32,IF(MIN(MOD((Q427+T427),16),16-MOD((Q427+T427),16))&lt;=0.25,16,IF(MIN(MOD((Q427+T427),8),8-MOD((Q427+T427),8))&lt;=0.25,8,""))))</f>
        <v/>
      </c>
    </row>
    <row r="428" customFormat="false" ht="15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9" t="str">
        <f aca="false">IF(A428="","",IFERROR(INDEX(Tracks!$E$2:$E$41,MATCH(A428,Tracks!$A$2:$A$41,0)),"?"))</f>
        <v/>
      </c>
      <c r="P428" s="9" t="str">
        <f aca="false">IF(A428="","",IFERROR(N(INDEX(Tracks!$F$2:$F$41,MATCH(A428,Tracks!$A$2:$A$41,0))),""))</f>
        <v/>
      </c>
      <c r="Q428" s="10" t="str">
        <f aca="false">IF(D428&lt;&gt;"",D428-1,IF(OR(A428="",C428="",N(P428)&lt;=0),"",(N(B428)*60+C428-IFERROR(N(INDEX(Tracks!$G$2:$G$41,MATCH(A428,Tracks!$A$2:$A$41,0))),0))*P428/240))</f>
        <v/>
      </c>
      <c r="R428" s="9" t="str">
        <f aca="false">IF(Q428="","",INT(Q428)+1)</f>
        <v/>
      </c>
      <c r="S428" s="10" t="str">
        <f aca="false">IF(OR(Q428="",D428&lt;&gt;""),"",MIN(4.75,ROUND((Q428-INT(Q428))*16,0)/4+1))</f>
        <v/>
      </c>
      <c r="T428" s="11" t="str">
        <f aca="false">IF(OR(E428="",N(P428)&lt;=0),"",E428*P428/240)</f>
        <v/>
      </c>
      <c r="U428" s="9" t="str">
        <f aca="false">IF(Q428="","",IF(MIN(MOD(Q428,32),32-MOD(Q428,32))&lt;=0.25,32,IF(MIN(MOD(Q428,16),16-MOD(Q428,16))&lt;=0.25,16,IF(MIN(MOD(Q428,8),8-MOD(Q428,8))&lt;=0.25,8,""))))</f>
        <v/>
      </c>
      <c r="V428" s="9" t="str">
        <f aca="false">IF(OR(Q428="",T428=""),"",IF(MIN(MOD((Q428+T428),32),32-MOD((Q428+T428),32))&lt;=0.25,32,IF(MIN(MOD((Q428+T428),16),16-MOD((Q428+T428),16))&lt;=0.25,16,IF(MIN(MOD((Q428+T428),8),8-MOD((Q428+T428),8))&lt;=0.25,8,""))))</f>
        <v/>
      </c>
    </row>
    <row r="429" customFormat="false" ht="15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9" t="str">
        <f aca="false">IF(A429="","",IFERROR(INDEX(Tracks!$E$2:$E$41,MATCH(A429,Tracks!$A$2:$A$41,0)),"?"))</f>
        <v/>
      </c>
      <c r="P429" s="9" t="str">
        <f aca="false">IF(A429="","",IFERROR(N(INDEX(Tracks!$F$2:$F$41,MATCH(A429,Tracks!$A$2:$A$41,0))),""))</f>
        <v/>
      </c>
      <c r="Q429" s="10" t="str">
        <f aca="false">IF(D429&lt;&gt;"",D429-1,IF(OR(A429="",C429="",N(P429)&lt;=0),"",(N(B429)*60+C429-IFERROR(N(INDEX(Tracks!$G$2:$G$41,MATCH(A429,Tracks!$A$2:$A$41,0))),0))*P429/240))</f>
        <v/>
      </c>
      <c r="R429" s="9" t="str">
        <f aca="false">IF(Q429="","",INT(Q429)+1)</f>
        <v/>
      </c>
      <c r="S429" s="10" t="str">
        <f aca="false">IF(OR(Q429="",D429&lt;&gt;""),"",MIN(4.75,ROUND((Q429-INT(Q429))*16,0)/4+1))</f>
        <v/>
      </c>
      <c r="T429" s="11" t="str">
        <f aca="false">IF(OR(E429="",N(P429)&lt;=0),"",E429*P429/240)</f>
        <v/>
      </c>
      <c r="U429" s="9" t="str">
        <f aca="false">IF(Q429="","",IF(MIN(MOD(Q429,32),32-MOD(Q429,32))&lt;=0.25,32,IF(MIN(MOD(Q429,16),16-MOD(Q429,16))&lt;=0.25,16,IF(MIN(MOD(Q429,8),8-MOD(Q429,8))&lt;=0.25,8,""))))</f>
        <v/>
      </c>
      <c r="V429" s="9" t="str">
        <f aca="false">IF(OR(Q429="",T429=""),"",IF(MIN(MOD((Q429+T429),32),32-MOD((Q429+T429),32))&lt;=0.25,32,IF(MIN(MOD((Q429+T429),16),16-MOD((Q429+T429),16))&lt;=0.25,16,IF(MIN(MOD((Q429+T429),8),8-MOD((Q429+T429),8))&lt;=0.25,8,""))))</f>
        <v/>
      </c>
    </row>
    <row r="430" customFormat="false" ht="15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9" t="str">
        <f aca="false">IF(A430="","",IFERROR(INDEX(Tracks!$E$2:$E$41,MATCH(A430,Tracks!$A$2:$A$41,0)),"?"))</f>
        <v/>
      </c>
      <c r="P430" s="9" t="str">
        <f aca="false">IF(A430="","",IFERROR(N(INDEX(Tracks!$F$2:$F$41,MATCH(A430,Tracks!$A$2:$A$41,0))),""))</f>
        <v/>
      </c>
      <c r="Q430" s="10" t="str">
        <f aca="false">IF(D430&lt;&gt;"",D430-1,IF(OR(A430="",C430="",N(P430)&lt;=0),"",(N(B430)*60+C430-IFERROR(N(INDEX(Tracks!$G$2:$G$41,MATCH(A430,Tracks!$A$2:$A$41,0))),0))*P430/240))</f>
        <v/>
      </c>
      <c r="R430" s="9" t="str">
        <f aca="false">IF(Q430="","",INT(Q430)+1)</f>
        <v/>
      </c>
      <c r="S430" s="10" t="str">
        <f aca="false">IF(OR(Q430="",D430&lt;&gt;""),"",MIN(4.75,ROUND((Q430-INT(Q430))*16,0)/4+1))</f>
        <v/>
      </c>
      <c r="T430" s="11" t="str">
        <f aca="false">IF(OR(E430="",N(P430)&lt;=0),"",E430*P430/240)</f>
        <v/>
      </c>
      <c r="U430" s="9" t="str">
        <f aca="false">IF(Q430="","",IF(MIN(MOD(Q430,32),32-MOD(Q430,32))&lt;=0.25,32,IF(MIN(MOD(Q430,16),16-MOD(Q430,16))&lt;=0.25,16,IF(MIN(MOD(Q430,8),8-MOD(Q430,8))&lt;=0.25,8,""))))</f>
        <v/>
      </c>
      <c r="V430" s="9" t="str">
        <f aca="false">IF(OR(Q430="",T430=""),"",IF(MIN(MOD((Q430+T430),32),32-MOD((Q430+T430),32))&lt;=0.25,32,IF(MIN(MOD((Q430+T430),16),16-MOD((Q430+T430),16))&lt;=0.25,16,IF(MIN(MOD((Q430+T430),8),8-MOD((Q430+T430),8))&lt;=0.25,8,""))))</f>
        <v/>
      </c>
    </row>
    <row r="431" customFormat="false" ht="15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9" t="str">
        <f aca="false">IF(A431="","",IFERROR(INDEX(Tracks!$E$2:$E$41,MATCH(A431,Tracks!$A$2:$A$41,0)),"?"))</f>
        <v/>
      </c>
      <c r="P431" s="9" t="str">
        <f aca="false">IF(A431="","",IFERROR(N(INDEX(Tracks!$F$2:$F$41,MATCH(A431,Tracks!$A$2:$A$41,0))),""))</f>
        <v/>
      </c>
      <c r="Q431" s="10" t="str">
        <f aca="false">IF(D431&lt;&gt;"",D431-1,IF(OR(A431="",C431="",N(P431)&lt;=0),"",(N(B431)*60+C431-IFERROR(N(INDEX(Tracks!$G$2:$G$41,MATCH(A431,Tracks!$A$2:$A$41,0))),0))*P431/240))</f>
        <v/>
      </c>
      <c r="R431" s="9" t="str">
        <f aca="false">IF(Q431="","",INT(Q431)+1)</f>
        <v/>
      </c>
      <c r="S431" s="10" t="str">
        <f aca="false">IF(OR(Q431="",D431&lt;&gt;""),"",MIN(4.75,ROUND((Q431-INT(Q431))*16,0)/4+1))</f>
        <v/>
      </c>
      <c r="T431" s="11" t="str">
        <f aca="false">IF(OR(E431="",N(P431)&lt;=0),"",E431*P431/240)</f>
        <v/>
      </c>
      <c r="U431" s="9" t="str">
        <f aca="false">IF(Q431="","",IF(MIN(MOD(Q431,32),32-MOD(Q431,32))&lt;=0.25,32,IF(MIN(MOD(Q431,16),16-MOD(Q431,16))&lt;=0.25,16,IF(MIN(MOD(Q431,8),8-MOD(Q431,8))&lt;=0.25,8,""))))</f>
        <v/>
      </c>
      <c r="V431" s="9" t="str">
        <f aca="false">IF(OR(Q431="",T431=""),"",IF(MIN(MOD((Q431+T431),32),32-MOD((Q431+T431),32))&lt;=0.25,32,IF(MIN(MOD((Q431+T431),16),16-MOD((Q431+T431),16))&lt;=0.25,16,IF(MIN(MOD((Q431+T431),8),8-MOD((Q431+T431),8))&lt;=0.25,8,""))))</f>
        <v/>
      </c>
    </row>
    <row r="432" customFormat="false" ht="15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9" t="str">
        <f aca="false">IF(A432="","",IFERROR(INDEX(Tracks!$E$2:$E$41,MATCH(A432,Tracks!$A$2:$A$41,0)),"?"))</f>
        <v/>
      </c>
      <c r="P432" s="9" t="str">
        <f aca="false">IF(A432="","",IFERROR(N(INDEX(Tracks!$F$2:$F$41,MATCH(A432,Tracks!$A$2:$A$41,0))),""))</f>
        <v/>
      </c>
      <c r="Q432" s="10" t="str">
        <f aca="false">IF(D432&lt;&gt;"",D432-1,IF(OR(A432="",C432="",N(P432)&lt;=0),"",(N(B432)*60+C432-IFERROR(N(INDEX(Tracks!$G$2:$G$41,MATCH(A432,Tracks!$A$2:$A$41,0))),0))*P432/240))</f>
        <v/>
      </c>
      <c r="R432" s="9" t="str">
        <f aca="false">IF(Q432="","",INT(Q432)+1)</f>
        <v/>
      </c>
      <c r="S432" s="10" t="str">
        <f aca="false">IF(OR(Q432="",D432&lt;&gt;""),"",MIN(4.75,ROUND((Q432-INT(Q432))*16,0)/4+1))</f>
        <v/>
      </c>
      <c r="T432" s="11" t="str">
        <f aca="false">IF(OR(E432="",N(P432)&lt;=0),"",E432*P432/240)</f>
        <v/>
      </c>
      <c r="U432" s="9" t="str">
        <f aca="false">IF(Q432="","",IF(MIN(MOD(Q432,32),32-MOD(Q432,32))&lt;=0.25,32,IF(MIN(MOD(Q432,16),16-MOD(Q432,16))&lt;=0.25,16,IF(MIN(MOD(Q432,8),8-MOD(Q432,8))&lt;=0.25,8,""))))</f>
        <v/>
      </c>
      <c r="V432" s="9" t="str">
        <f aca="false">IF(OR(Q432="",T432=""),"",IF(MIN(MOD((Q432+T432),32),32-MOD((Q432+T432),32))&lt;=0.25,32,IF(MIN(MOD((Q432+T432),16),16-MOD((Q432+T432),16))&lt;=0.25,16,IF(MIN(MOD((Q432+T432),8),8-MOD((Q432+T432),8))&lt;=0.25,8,""))))</f>
        <v/>
      </c>
    </row>
    <row r="433" customFormat="false" ht="15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9" t="str">
        <f aca="false">IF(A433="","",IFERROR(INDEX(Tracks!$E$2:$E$41,MATCH(A433,Tracks!$A$2:$A$41,0)),"?"))</f>
        <v/>
      </c>
      <c r="P433" s="9" t="str">
        <f aca="false">IF(A433="","",IFERROR(N(INDEX(Tracks!$F$2:$F$41,MATCH(A433,Tracks!$A$2:$A$41,0))),""))</f>
        <v/>
      </c>
      <c r="Q433" s="10" t="str">
        <f aca="false">IF(D433&lt;&gt;"",D433-1,IF(OR(A433="",C433="",N(P433)&lt;=0),"",(N(B433)*60+C433-IFERROR(N(INDEX(Tracks!$G$2:$G$41,MATCH(A433,Tracks!$A$2:$A$41,0))),0))*P433/240))</f>
        <v/>
      </c>
      <c r="R433" s="9" t="str">
        <f aca="false">IF(Q433="","",INT(Q433)+1)</f>
        <v/>
      </c>
      <c r="S433" s="10" t="str">
        <f aca="false">IF(OR(Q433="",D433&lt;&gt;""),"",MIN(4.75,ROUND((Q433-INT(Q433))*16,0)/4+1))</f>
        <v/>
      </c>
      <c r="T433" s="11" t="str">
        <f aca="false">IF(OR(E433="",N(P433)&lt;=0),"",E433*P433/240)</f>
        <v/>
      </c>
      <c r="U433" s="9" t="str">
        <f aca="false">IF(Q433="","",IF(MIN(MOD(Q433,32),32-MOD(Q433,32))&lt;=0.25,32,IF(MIN(MOD(Q433,16),16-MOD(Q433,16))&lt;=0.25,16,IF(MIN(MOD(Q433,8),8-MOD(Q433,8))&lt;=0.25,8,""))))</f>
        <v/>
      </c>
      <c r="V433" s="9" t="str">
        <f aca="false">IF(OR(Q433="",T433=""),"",IF(MIN(MOD((Q433+T433),32),32-MOD((Q433+T433),32))&lt;=0.25,32,IF(MIN(MOD((Q433+T433),16),16-MOD((Q433+T433),16))&lt;=0.25,16,IF(MIN(MOD((Q433+T433),8),8-MOD((Q433+T433),8))&lt;=0.25,8,""))))</f>
        <v/>
      </c>
    </row>
    <row r="434" customFormat="false" ht="15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9" t="str">
        <f aca="false">IF(A434="","",IFERROR(INDEX(Tracks!$E$2:$E$41,MATCH(A434,Tracks!$A$2:$A$41,0)),"?"))</f>
        <v/>
      </c>
      <c r="P434" s="9" t="str">
        <f aca="false">IF(A434="","",IFERROR(N(INDEX(Tracks!$F$2:$F$41,MATCH(A434,Tracks!$A$2:$A$41,0))),""))</f>
        <v/>
      </c>
      <c r="Q434" s="10" t="str">
        <f aca="false">IF(D434&lt;&gt;"",D434-1,IF(OR(A434="",C434="",N(P434)&lt;=0),"",(N(B434)*60+C434-IFERROR(N(INDEX(Tracks!$G$2:$G$41,MATCH(A434,Tracks!$A$2:$A$41,0))),0))*P434/240))</f>
        <v/>
      </c>
      <c r="R434" s="9" t="str">
        <f aca="false">IF(Q434="","",INT(Q434)+1)</f>
        <v/>
      </c>
      <c r="S434" s="10" t="str">
        <f aca="false">IF(OR(Q434="",D434&lt;&gt;""),"",MIN(4.75,ROUND((Q434-INT(Q434))*16,0)/4+1))</f>
        <v/>
      </c>
      <c r="T434" s="11" t="str">
        <f aca="false">IF(OR(E434="",N(P434)&lt;=0),"",E434*P434/240)</f>
        <v/>
      </c>
      <c r="U434" s="9" t="str">
        <f aca="false">IF(Q434="","",IF(MIN(MOD(Q434,32),32-MOD(Q434,32))&lt;=0.25,32,IF(MIN(MOD(Q434,16),16-MOD(Q434,16))&lt;=0.25,16,IF(MIN(MOD(Q434,8),8-MOD(Q434,8))&lt;=0.25,8,""))))</f>
        <v/>
      </c>
      <c r="V434" s="9" t="str">
        <f aca="false">IF(OR(Q434="",T434=""),"",IF(MIN(MOD((Q434+T434),32),32-MOD((Q434+T434),32))&lt;=0.25,32,IF(MIN(MOD((Q434+T434),16),16-MOD((Q434+T434),16))&lt;=0.25,16,IF(MIN(MOD((Q434+T434),8),8-MOD((Q434+T434),8))&lt;=0.25,8,""))))</f>
        <v/>
      </c>
    </row>
    <row r="435" customFormat="false" ht="15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9" t="str">
        <f aca="false">IF(A435="","",IFERROR(INDEX(Tracks!$E$2:$E$41,MATCH(A435,Tracks!$A$2:$A$41,0)),"?"))</f>
        <v/>
      </c>
      <c r="P435" s="9" t="str">
        <f aca="false">IF(A435="","",IFERROR(N(INDEX(Tracks!$F$2:$F$41,MATCH(A435,Tracks!$A$2:$A$41,0))),""))</f>
        <v/>
      </c>
      <c r="Q435" s="10" t="str">
        <f aca="false">IF(D435&lt;&gt;"",D435-1,IF(OR(A435="",C435="",N(P435)&lt;=0),"",(N(B435)*60+C435-IFERROR(N(INDEX(Tracks!$G$2:$G$41,MATCH(A435,Tracks!$A$2:$A$41,0))),0))*P435/240))</f>
        <v/>
      </c>
      <c r="R435" s="9" t="str">
        <f aca="false">IF(Q435="","",INT(Q435)+1)</f>
        <v/>
      </c>
      <c r="S435" s="10" t="str">
        <f aca="false">IF(OR(Q435="",D435&lt;&gt;""),"",MIN(4.75,ROUND((Q435-INT(Q435))*16,0)/4+1))</f>
        <v/>
      </c>
      <c r="T435" s="11" t="str">
        <f aca="false">IF(OR(E435="",N(P435)&lt;=0),"",E435*P435/240)</f>
        <v/>
      </c>
      <c r="U435" s="9" t="str">
        <f aca="false">IF(Q435="","",IF(MIN(MOD(Q435,32),32-MOD(Q435,32))&lt;=0.25,32,IF(MIN(MOD(Q435,16),16-MOD(Q435,16))&lt;=0.25,16,IF(MIN(MOD(Q435,8),8-MOD(Q435,8))&lt;=0.25,8,""))))</f>
        <v/>
      </c>
      <c r="V435" s="9" t="str">
        <f aca="false">IF(OR(Q435="",T435=""),"",IF(MIN(MOD((Q435+T435),32),32-MOD((Q435+T435),32))&lt;=0.25,32,IF(MIN(MOD((Q435+T435),16),16-MOD((Q435+T435),16))&lt;=0.25,16,IF(MIN(MOD((Q435+T435),8),8-MOD((Q435+T435),8))&lt;=0.25,8,""))))</f>
        <v/>
      </c>
    </row>
    <row r="436" customFormat="false" ht="15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9" t="str">
        <f aca="false">IF(A436="","",IFERROR(INDEX(Tracks!$E$2:$E$41,MATCH(A436,Tracks!$A$2:$A$41,0)),"?"))</f>
        <v/>
      </c>
      <c r="P436" s="9" t="str">
        <f aca="false">IF(A436="","",IFERROR(N(INDEX(Tracks!$F$2:$F$41,MATCH(A436,Tracks!$A$2:$A$41,0))),""))</f>
        <v/>
      </c>
      <c r="Q436" s="10" t="str">
        <f aca="false">IF(D436&lt;&gt;"",D436-1,IF(OR(A436="",C436="",N(P436)&lt;=0),"",(N(B436)*60+C436-IFERROR(N(INDEX(Tracks!$G$2:$G$41,MATCH(A436,Tracks!$A$2:$A$41,0))),0))*P436/240))</f>
        <v/>
      </c>
      <c r="R436" s="9" t="str">
        <f aca="false">IF(Q436="","",INT(Q436)+1)</f>
        <v/>
      </c>
      <c r="S436" s="10" t="str">
        <f aca="false">IF(OR(Q436="",D436&lt;&gt;""),"",MIN(4.75,ROUND((Q436-INT(Q436))*16,0)/4+1))</f>
        <v/>
      </c>
      <c r="T436" s="11" t="str">
        <f aca="false">IF(OR(E436="",N(P436)&lt;=0),"",E436*P436/240)</f>
        <v/>
      </c>
      <c r="U436" s="9" t="str">
        <f aca="false">IF(Q436="","",IF(MIN(MOD(Q436,32),32-MOD(Q436,32))&lt;=0.25,32,IF(MIN(MOD(Q436,16),16-MOD(Q436,16))&lt;=0.25,16,IF(MIN(MOD(Q436,8),8-MOD(Q436,8))&lt;=0.25,8,""))))</f>
        <v/>
      </c>
      <c r="V436" s="9" t="str">
        <f aca="false">IF(OR(Q436="",T436=""),"",IF(MIN(MOD((Q436+T436),32),32-MOD((Q436+T436),32))&lt;=0.25,32,IF(MIN(MOD((Q436+T436),16),16-MOD((Q436+T436),16))&lt;=0.25,16,IF(MIN(MOD((Q436+T436),8),8-MOD((Q436+T436),8))&lt;=0.25,8,""))))</f>
        <v/>
      </c>
    </row>
    <row r="437" customFormat="false" ht="15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9" t="str">
        <f aca="false">IF(A437="","",IFERROR(INDEX(Tracks!$E$2:$E$41,MATCH(A437,Tracks!$A$2:$A$41,0)),"?"))</f>
        <v/>
      </c>
      <c r="P437" s="9" t="str">
        <f aca="false">IF(A437="","",IFERROR(N(INDEX(Tracks!$F$2:$F$41,MATCH(A437,Tracks!$A$2:$A$41,0))),""))</f>
        <v/>
      </c>
      <c r="Q437" s="10" t="str">
        <f aca="false">IF(D437&lt;&gt;"",D437-1,IF(OR(A437="",C437="",N(P437)&lt;=0),"",(N(B437)*60+C437-IFERROR(N(INDEX(Tracks!$G$2:$G$41,MATCH(A437,Tracks!$A$2:$A$41,0))),0))*P437/240))</f>
        <v/>
      </c>
      <c r="R437" s="9" t="str">
        <f aca="false">IF(Q437="","",INT(Q437)+1)</f>
        <v/>
      </c>
      <c r="S437" s="10" t="str">
        <f aca="false">IF(OR(Q437="",D437&lt;&gt;""),"",MIN(4.75,ROUND((Q437-INT(Q437))*16,0)/4+1))</f>
        <v/>
      </c>
      <c r="T437" s="11" t="str">
        <f aca="false">IF(OR(E437="",N(P437)&lt;=0),"",E437*P437/240)</f>
        <v/>
      </c>
      <c r="U437" s="9" t="str">
        <f aca="false">IF(Q437="","",IF(MIN(MOD(Q437,32),32-MOD(Q437,32))&lt;=0.25,32,IF(MIN(MOD(Q437,16),16-MOD(Q437,16))&lt;=0.25,16,IF(MIN(MOD(Q437,8),8-MOD(Q437,8))&lt;=0.25,8,""))))</f>
        <v/>
      </c>
      <c r="V437" s="9" t="str">
        <f aca="false">IF(OR(Q437="",T437=""),"",IF(MIN(MOD((Q437+T437),32),32-MOD((Q437+T437),32))&lt;=0.25,32,IF(MIN(MOD((Q437+T437),16),16-MOD((Q437+T437),16))&lt;=0.25,16,IF(MIN(MOD((Q437+T437),8),8-MOD((Q437+T437),8))&lt;=0.25,8,""))))</f>
        <v/>
      </c>
    </row>
    <row r="438" customFormat="false" ht="15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9" t="str">
        <f aca="false">IF(A438="","",IFERROR(INDEX(Tracks!$E$2:$E$41,MATCH(A438,Tracks!$A$2:$A$41,0)),"?"))</f>
        <v/>
      </c>
      <c r="P438" s="9" t="str">
        <f aca="false">IF(A438="","",IFERROR(N(INDEX(Tracks!$F$2:$F$41,MATCH(A438,Tracks!$A$2:$A$41,0))),""))</f>
        <v/>
      </c>
      <c r="Q438" s="10" t="str">
        <f aca="false">IF(D438&lt;&gt;"",D438-1,IF(OR(A438="",C438="",N(P438)&lt;=0),"",(N(B438)*60+C438-IFERROR(N(INDEX(Tracks!$G$2:$G$41,MATCH(A438,Tracks!$A$2:$A$41,0))),0))*P438/240))</f>
        <v/>
      </c>
      <c r="R438" s="9" t="str">
        <f aca="false">IF(Q438="","",INT(Q438)+1)</f>
        <v/>
      </c>
      <c r="S438" s="10" t="str">
        <f aca="false">IF(OR(Q438="",D438&lt;&gt;""),"",MIN(4.75,ROUND((Q438-INT(Q438))*16,0)/4+1))</f>
        <v/>
      </c>
      <c r="T438" s="11" t="str">
        <f aca="false">IF(OR(E438="",N(P438)&lt;=0),"",E438*P438/240)</f>
        <v/>
      </c>
      <c r="U438" s="9" t="str">
        <f aca="false">IF(Q438="","",IF(MIN(MOD(Q438,32),32-MOD(Q438,32))&lt;=0.25,32,IF(MIN(MOD(Q438,16),16-MOD(Q438,16))&lt;=0.25,16,IF(MIN(MOD(Q438,8),8-MOD(Q438,8))&lt;=0.25,8,""))))</f>
        <v/>
      </c>
      <c r="V438" s="9" t="str">
        <f aca="false">IF(OR(Q438="",T438=""),"",IF(MIN(MOD((Q438+T438),32),32-MOD((Q438+T438),32))&lt;=0.25,32,IF(MIN(MOD((Q438+T438),16),16-MOD((Q438+T438),16))&lt;=0.25,16,IF(MIN(MOD((Q438+T438),8),8-MOD((Q438+T438),8))&lt;=0.25,8,""))))</f>
        <v/>
      </c>
    </row>
    <row r="439" customFormat="false" ht="15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9" t="str">
        <f aca="false">IF(A439="","",IFERROR(INDEX(Tracks!$E$2:$E$41,MATCH(A439,Tracks!$A$2:$A$41,0)),"?"))</f>
        <v/>
      </c>
      <c r="P439" s="9" t="str">
        <f aca="false">IF(A439="","",IFERROR(N(INDEX(Tracks!$F$2:$F$41,MATCH(A439,Tracks!$A$2:$A$41,0))),""))</f>
        <v/>
      </c>
      <c r="Q439" s="10" t="str">
        <f aca="false">IF(D439&lt;&gt;"",D439-1,IF(OR(A439="",C439="",N(P439)&lt;=0),"",(N(B439)*60+C439-IFERROR(N(INDEX(Tracks!$G$2:$G$41,MATCH(A439,Tracks!$A$2:$A$41,0))),0))*P439/240))</f>
        <v/>
      </c>
      <c r="R439" s="9" t="str">
        <f aca="false">IF(Q439="","",INT(Q439)+1)</f>
        <v/>
      </c>
      <c r="S439" s="10" t="str">
        <f aca="false">IF(OR(Q439="",D439&lt;&gt;""),"",MIN(4.75,ROUND((Q439-INT(Q439))*16,0)/4+1))</f>
        <v/>
      </c>
      <c r="T439" s="11" t="str">
        <f aca="false">IF(OR(E439="",N(P439)&lt;=0),"",E439*P439/240)</f>
        <v/>
      </c>
      <c r="U439" s="9" t="str">
        <f aca="false">IF(Q439="","",IF(MIN(MOD(Q439,32),32-MOD(Q439,32))&lt;=0.25,32,IF(MIN(MOD(Q439,16),16-MOD(Q439,16))&lt;=0.25,16,IF(MIN(MOD(Q439,8),8-MOD(Q439,8))&lt;=0.25,8,""))))</f>
        <v/>
      </c>
      <c r="V439" s="9" t="str">
        <f aca="false">IF(OR(Q439="",T439=""),"",IF(MIN(MOD((Q439+T439),32),32-MOD((Q439+T439),32))&lt;=0.25,32,IF(MIN(MOD((Q439+T439),16),16-MOD((Q439+T439),16))&lt;=0.25,16,IF(MIN(MOD((Q439+T439),8),8-MOD((Q439+T439),8))&lt;=0.25,8,""))))</f>
        <v/>
      </c>
    </row>
    <row r="440" customFormat="false" ht="15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9" t="str">
        <f aca="false">IF(A440="","",IFERROR(INDEX(Tracks!$E$2:$E$41,MATCH(A440,Tracks!$A$2:$A$41,0)),"?"))</f>
        <v/>
      </c>
      <c r="P440" s="9" t="str">
        <f aca="false">IF(A440="","",IFERROR(N(INDEX(Tracks!$F$2:$F$41,MATCH(A440,Tracks!$A$2:$A$41,0))),""))</f>
        <v/>
      </c>
      <c r="Q440" s="10" t="str">
        <f aca="false">IF(D440&lt;&gt;"",D440-1,IF(OR(A440="",C440="",N(P440)&lt;=0),"",(N(B440)*60+C440-IFERROR(N(INDEX(Tracks!$G$2:$G$41,MATCH(A440,Tracks!$A$2:$A$41,0))),0))*P440/240))</f>
        <v/>
      </c>
      <c r="R440" s="9" t="str">
        <f aca="false">IF(Q440="","",INT(Q440)+1)</f>
        <v/>
      </c>
      <c r="S440" s="10" t="str">
        <f aca="false">IF(OR(Q440="",D440&lt;&gt;""),"",MIN(4.75,ROUND((Q440-INT(Q440))*16,0)/4+1))</f>
        <v/>
      </c>
      <c r="T440" s="11" t="str">
        <f aca="false">IF(OR(E440="",N(P440)&lt;=0),"",E440*P440/240)</f>
        <v/>
      </c>
      <c r="U440" s="9" t="str">
        <f aca="false">IF(Q440="","",IF(MIN(MOD(Q440,32),32-MOD(Q440,32))&lt;=0.25,32,IF(MIN(MOD(Q440,16),16-MOD(Q440,16))&lt;=0.25,16,IF(MIN(MOD(Q440,8),8-MOD(Q440,8))&lt;=0.25,8,""))))</f>
        <v/>
      </c>
      <c r="V440" s="9" t="str">
        <f aca="false">IF(OR(Q440="",T440=""),"",IF(MIN(MOD((Q440+T440),32),32-MOD((Q440+T440),32))&lt;=0.25,32,IF(MIN(MOD((Q440+T440),16),16-MOD((Q440+T440),16))&lt;=0.25,16,IF(MIN(MOD((Q440+T440),8),8-MOD((Q440+T440),8))&lt;=0.25,8,""))))</f>
        <v/>
      </c>
    </row>
    <row r="441" customFormat="false" ht="15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9" t="str">
        <f aca="false">IF(A441="","",IFERROR(INDEX(Tracks!$E$2:$E$41,MATCH(A441,Tracks!$A$2:$A$41,0)),"?"))</f>
        <v/>
      </c>
      <c r="P441" s="9" t="str">
        <f aca="false">IF(A441="","",IFERROR(N(INDEX(Tracks!$F$2:$F$41,MATCH(A441,Tracks!$A$2:$A$41,0))),""))</f>
        <v/>
      </c>
      <c r="Q441" s="10" t="str">
        <f aca="false">IF(D441&lt;&gt;"",D441-1,IF(OR(A441="",C441="",N(P441)&lt;=0),"",(N(B441)*60+C441-IFERROR(N(INDEX(Tracks!$G$2:$G$41,MATCH(A441,Tracks!$A$2:$A$41,0))),0))*P441/240))</f>
        <v/>
      </c>
      <c r="R441" s="9" t="str">
        <f aca="false">IF(Q441="","",INT(Q441)+1)</f>
        <v/>
      </c>
      <c r="S441" s="10" t="str">
        <f aca="false">IF(OR(Q441="",D441&lt;&gt;""),"",MIN(4.75,ROUND((Q441-INT(Q441))*16,0)/4+1))</f>
        <v/>
      </c>
      <c r="T441" s="11" t="str">
        <f aca="false">IF(OR(E441="",N(P441)&lt;=0),"",E441*P441/240)</f>
        <v/>
      </c>
      <c r="U441" s="9" t="str">
        <f aca="false">IF(Q441="","",IF(MIN(MOD(Q441,32),32-MOD(Q441,32))&lt;=0.25,32,IF(MIN(MOD(Q441,16),16-MOD(Q441,16))&lt;=0.25,16,IF(MIN(MOD(Q441,8),8-MOD(Q441,8))&lt;=0.25,8,""))))</f>
        <v/>
      </c>
      <c r="V441" s="9" t="str">
        <f aca="false">IF(OR(Q441="",T441=""),"",IF(MIN(MOD((Q441+T441),32),32-MOD((Q441+T441),32))&lt;=0.25,32,IF(MIN(MOD((Q441+T441),16),16-MOD((Q441+T441),16))&lt;=0.25,16,IF(MIN(MOD((Q441+T441),8),8-MOD((Q441+T441),8))&lt;=0.25,8,""))))</f>
        <v/>
      </c>
    </row>
    <row r="442" customFormat="false" ht="15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9" t="str">
        <f aca="false">IF(A442="","",IFERROR(INDEX(Tracks!$E$2:$E$41,MATCH(A442,Tracks!$A$2:$A$41,0)),"?"))</f>
        <v/>
      </c>
      <c r="P442" s="9" t="str">
        <f aca="false">IF(A442="","",IFERROR(N(INDEX(Tracks!$F$2:$F$41,MATCH(A442,Tracks!$A$2:$A$41,0))),""))</f>
        <v/>
      </c>
      <c r="Q442" s="10" t="str">
        <f aca="false">IF(D442&lt;&gt;"",D442-1,IF(OR(A442="",C442="",N(P442)&lt;=0),"",(N(B442)*60+C442-IFERROR(N(INDEX(Tracks!$G$2:$G$41,MATCH(A442,Tracks!$A$2:$A$41,0))),0))*P442/240))</f>
        <v/>
      </c>
      <c r="R442" s="9" t="str">
        <f aca="false">IF(Q442="","",INT(Q442)+1)</f>
        <v/>
      </c>
      <c r="S442" s="10" t="str">
        <f aca="false">IF(OR(Q442="",D442&lt;&gt;""),"",MIN(4.75,ROUND((Q442-INT(Q442))*16,0)/4+1))</f>
        <v/>
      </c>
      <c r="T442" s="11" t="str">
        <f aca="false">IF(OR(E442="",N(P442)&lt;=0),"",E442*P442/240)</f>
        <v/>
      </c>
      <c r="U442" s="9" t="str">
        <f aca="false">IF(Q442="","",IF(MIN(MOD(Q442,32),32-MOD(Q442,32))&lt;=0.25,32,IF(MIN(MOD(Q442,16),16-MOD(Q442,16))&lt;=0.25,16,IF(MIN(MOD(Q442,8),8-MOD(Q442,8))&lt;=0.25,8,""))))</f>
        <v/>
      </c>
      <c r="V442" s="9" t="str">
        <f aca="false">IF(OR(Q442="",T442=""),"",IF(MIN(MOD((Q442+T442),32),32-MOD((Q442+T442),32))&lt;=0.25,32,IF(MIN(MOD((Q442+T442),16),16-MOD((Q442+T442),16))&lt;=0.25,16,IF(MIN(MOD((Q442+T442),8),8-MOD((Q442+T442),8))&lt;=0.25,8,""))))</f>
        <v/>
      </c>
    </row>
    <row r="443" customFormat="false" ht="15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9" t="str">
        <f aca="false">IF(A443="","",IFERROR(INDEX(Tracks!$E$2:$E$41,MATCH(A443,Tracks!$A$2:$A$41,0)),"?"))</f>
        <v/>
      </c>
      <c r="P443" s="9" t="str">
        <f aca="false">IF(A443="","",IFERROR(N(INDEX(Tracks!$F$2:$F$41,MATCH(A443,Tracks!$A$2:$A$41,0))),""))</f>
        <v/>
      </c>
      <c r="Q443" s="10" t="str">
        <f aca="false">IF(D443&lt;&gt;"",D443-1,IF(OR(A443="",C443="",N(P443)&lt;=0),"",(N(B443)*60+C443-IFERROR(N(INDEX(Tracks!$G$2:$G$41,MATCH(A443,Tracks!$A$2:$A$41,0))),0))*P443/240))</f>
        <v/>
      </c>
      <c r="R443" s="9" t="str">
        <f aca="false">IF(Q443="","",INT(Q443)+1)</f>
        <v/>
      </c>
      <c r="S443" s="10" t="str">
        <f aca="false">IF(OR(Q443="",D443&lt;&gt;""),"",MIN(4.75,ROUND((Q443-INT(Q443))*16,0)/4+1))</f>
        <v/>
      </c>
      <c r="T443" s="11" t="str">
        <f aca="false">IF(OR(E443="",N(P443)&lt;=0),"",E443*P443/240)</f>
        <v/>
      </c>
      <c r="U443" s="9" t="str">
        <f aca="false">IF(Q443="","",IF(MIN(MOD(Q443,32),32-MOD(Q443,32))&lt;=0.25,32,IF(MIN(MOD(Q443,16),16-MOD(Q443,16))&lt;=0.25,16,IF(MIN(MOD(Q443,8),8-MOD(Q443,8))&lt;=0.25,8,""))))</f>
        <v/>
      </c>
      <c r="V443" s="9" t="str">
        <f aca="false">IF(OR(Q443="",T443=""),"",IF(MIN(MOD((Q443+T443),32),32-MOD((Q443+T443),32))&lt;=0.25,32,IF(MIN(MOD((Q443+T443),16),16-MOD((Q443+T443),16))&lt;=0.25,16,IF(MIN(MOD((Q443+T443),8),8-MOD((Q443+T443),8))&lt;=0.25,8,""))))</f>
        <v/>
      </c>
    </row>
    <row r="444" customFormat="false" ht="15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9" t="str">
        <f aca="false">IF(A444="","",IFERROR(INDEX(Tracks!$E$2:$E$41,MATCH(A444,Tracks!$A$2:$A$41,0)),"?"))</f>
        <v/>
      </c>
      <c r="P444" s="9" t="str">
        <f aca="false">IF(A444="","",IFERROR(N(INDEX(Tracks!$F$2:$F$41,MATCH(A444,Tracks!$A$2:$A$41,0))),""))</f>
        <v/>
      </c>
      <c r="Q444" s="10" t="str">
        <f aca="false">IF(D444&lt;&gt;"",D444-1,IF(OR(A444="",C444="",N(P444)&lt;=0),"",(N(B444)*60+C444-IFERROR(N(INDEX(Tracks!$G$2:$G$41,MATCH(A444,Tracks!$A$2:$A$41,0))),0))*P444/240))</f>
        <v/>
      </c>
      <c r="R444" s="9" t="str">
        <f aca="false">IF(Q444="","",INT(Q444)+1)</f>
        <v/>
      </c>
      <c r="S444" s="10" t="str">
        <f aca="false">IF(OR(Q444="",D444&lt;&gt;""),"",MIN(4.75,ROUND((Q444-INT(Q444))*16,0)/4+1))</f>
        <v/>
      </c>
      <c r="T444" s="11" t="str">
        <f aca="false">IF(OR(E444="",N(P444)&lt;=0),"",E444*P444/240)</f>
        <v/>
      </c>
      <c r="U444" s="9" t="str">
        <f aca="false">IF(Q444="","",IF(MIN(MOD(Q444,32),32-MOD(Q444,32))&lt;=0.25,32,IF(MIN(MOD(Q444,16),16-MOD(Q444,16))&lt;=0.25,16,IF(MIN(MOD(Q444,8),8-MOD(Q444,8))&lt;=0.25,8,""))))</f>
        <v/>
      </c>
      <c r="V444" s="9" t="str">
        <f aca="false">IF(OR(Q444="",T444=""),"",IF(MIN(MOD((Q444+T444),32),32-MOD((Q444+T444),32))&lt;=0.25,32,IF(MIN(MOD((Q444+T444),16),16-MOD((Q444+T444),16))&lt;=0.25,16,IF(MIN(MOD((Q444+T444),8),8-MOD((Q444+T444),8))&lt;=0.25,8,""))))</f>
        <v/>
      </c>
    </row>
    <row r="445" customFormat="false" ht="15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9" t="str">
        <f aca="false">IF(A445="","",IFERROR(INDEX(Tracks!$E$2:$E$41,MATCH(A445,Tracks!$A$2:$A$41,0)),"?"))</f>
        <v/>
      </c>
      <c r="P445" s="9" t="str">
        <f aca="false">IF(A445="","",IFERROR(N(INDEX(Tracks!$F$2:$F$41,MATCH(A445,Tracks!$A$2:$A$41,0))),""))</f>
        <v/>
      </c>
      <c r="Q445" s="10" t="str">
        <f aca="false">IF(D445&lt;&gt;"",D445-1,IF(OR(A445="",C445="",N(P445)&lt;=0),"",(N(B445)*60+C445-IFERROR(N(INDEX(Tracks!$G$2:$G$41,MATCH(A445,Tracks!$A$2:$A$41,0))),0))*P445/240))</f>
        <v/>
      </c>
      <c r="R445" s="9" t="str">
        <f aca="false">IF(Q445="","",INT(Q445)+1)</f>
        <v/>
      </c>
      <c r="S445" s="10" t="str">
        <f aca="false">IF(OR(Q445="",D445&lt;&gt;""),"",MIN(4.75,ROUND((Q445-INT(Q445))*16,0)/4+1))</f>
        <v/>
      </c>
      <c r="T445" s="11" t="str">
        <f aca="false">IF(OR(E445="",N(P445)&lt;=0),"",E445*P445/240)</f>
        <v/>
      </c>
      <c r="U445" s="9" t="str">
        <f aca="false">IF(Q445="","",IF(MIN(MOD(Q445,32),32-MOD(Q445,32))&lt;=0.25,32,IF(MIN(MOD(Q445,16),16-MOD(Q445,16))&lt;=0.25,16,IF(MIN(MOD(Q445,8),8-MOD(Q445,8))&lt;=0.25,8,""))))</f>
        <v/>
      </c>
      <c r="V445" s="9" t="str">
        <f aca="false">IF(OR(Q445="",T445=""),"",IF(MIN(MOD((Q445+T445),32),32-MOD((Q445+T445),32))&lt;=0.25,32,IF(MIN(MOD((Q445+T445),16),16-MOD((Q445+T445),16))&lt;=0.25,16,IF(MIN(MOD((Q445+T445),8),8-MOD((Q445+T445),8))&lt;=0.25,8,""))))</f>
        <v/>
      </c>
    </row>
    <row r="446" customFormat="false" ht="15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9" t="str">
        <f aca="false">IF(A446="","",IFERROR(INDEX(Tracks!$E$2:$E$41,MATCH(A446,Tracks!$A$2:$A$41,0)),"?"))</f>
        <v/>
      </c>
      <c r="P446" s="9" t="str">
        <f aca="false">IF(A446="","",IFERROR(N(INDEX(Tracks!$F$2:$F$41,MATCH(A446,Tracks!$A$2:$A$41,0))),""))</f>
        <v/>
      </c>
      <c r="Q446" s="10" t="str">
        <f aca="false">IF(D446&lt;&gt;"",D446-1,IF(OR(A446="",C446="",N(P446)&lt;=0),"",(N(B446)*60+C446-IFERROR(N(INDEX(Tracks!$G$2:$G$41,MATCH(A446,Tracks!$A$2:$A$41,0))),0))*P446/240))</f>
        <v/>
      </c>
      <c r="R446" s="9" t="str">
        <f aca="false">IF(Q446="","",INT(Q446)+1)</f>
        <v/>
      </c>
      <c r="S446" s="10" t="str">
        <f aca="false">IF(OR(Q446="",D446&lt;&gt;""),"",MIN(4.75,ROUND((Q446-INT(Q446))*16,0)/4+1))</f>
        <v/>
      </c>
      <c r="T446" s="11" t="str">
        <f aca="false">IF(OR(E446="",N(P446)&lt;=0),"",E446*P446/240)</f>
        <v/>
      </c>
      <c r="U446" s="9" t="str">
        <f aca="false">IF(Q446="","",IF(MIN(MOD(Q446,32),32-MOD(Q446,32))&lt;=0.25,32,IF(MIN(MOD(Q446,16),16-MOD(Q446,16))&lt;=0.25,16,IF(MIN(MOD(Q446,8),8-MOD(Q446,8))&lt;=0.25,8,""))))</f>
        <v/>
      </c>
      <c r="V446" s="9" t="str">
        <f aca="false">IF(OR(Q446="",T446=""),"",IF(MIN(MOD((Q446+T446),32),32-MOD((Q446+T446),32))&lt;=0.25,32,IF(MIN(MOD((Q446+T446),16),16-MOD((Q446+T446),16))&lt;=0.25,16,IF(MIN(MOD((Q446+T446),8),8-MOD((Q446+T446),8))&lt;=0.25,8,""))))</f>
        <v/>
      </c>
    </row>
    <row r="447" customFormat="false" ht="15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9" t="str">
        <f aca="false">IF(A447="","",IFERROR(INDEX(Tracks!$E$2:$E$41,MATCH(A447,Tracks!$A$2:$A$41,0)),"?"))</f>
        <v/>
      </c>
      <c r="P447" s="9" t="str">
        <f aca="false">IF(A447="","",IFERROR(N(INDEX(Tracks!$F$2:$F$41,MATCH(A447,Tracks!$A$2:$A$41,0))),""))</f>
        <v/>
      </c>
      <c r="Q447" s="10" t="str">
        <f aca="false">IF(D447&lt;&gt;"",D447-1,IF(OR(A447="",C447="",N(P447)&lt;=0),"",(N(B447)*60+C447-IFERROR(N(INDEX(Tracks!$G$2:$G$41,MATCH(A447,Tracks!$A$2:$A$41,0))),0))*P447/240))</f>
        <v/>
      </c>
      <c r="R447" s="9" t="str">
        <f aca="false">IF(Q447="","",INT(Q447)+1)</f>
        <v/>
      </c>
      <c r="S447" s="10" t="str">
        <f aca="false">IF(OR(Q447="",D447&lt;&gt;""),"",MIN(4.75,ROUND((Q447-INT(Q447))*16,0)/4+1))</f>
        <v/>
      </c>
      <c r="T447" s="11" t="str">
        <f aca="false">IF(OR(E447="",N(P447)&lt;=0),"",E447*P447/240)</f>
        <v/>
      </c>
      <c r="U447" s="9" t="str">
        <f aca="false">IF(Q447="","",IF(MIN(MOD(Q447,32),32-MOD(Q447,32))&lt;=0.25,32,IF(MIN(MOD(Q447,16),16-MOD(Q447,16))&lt;=0.25,16,IF(MIN(MOD(Q447,8),8-MOD(Q447,8))&lt;=0.25,8,""))))</f>
        <v/>
      </c>
      <c r="V447" s="9" t="str">
        <f aca="false">IF(OR(Q447="",T447=""),"",IF(MIN(MOD((Q447+T447),32),32-MOD((Q447+T447),32))&lt;=0.25,32,IF(MIN(MOD((Q447+T447),16),16-MOD((Q447+T447),16))&lt;=0.25,16,IF(MIN(MOD((Q447+T447),8),8-MOD((Q447+T447),8))&lt;=0.25,8,""))))</f>
        <v/>
      </c>
    </row>
    <row r="448" customFormat="false" ht="15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9" t="str">
        <f aca="false">IF(A448="","",IFERROR(INDEX(Tracks!$E$2:$E$41,MATCH(A448,Tracks!$A$2:$A$41,0)),"?"))</f>
        <v/>
      </c>
      <c r="P448" s="9" t="str">
        <f aca="false">IF(A448="","",IFERROR(N(INDEX(Tracks!$F$2:$F$41,MATCH(A448,Tracks!$A$2:$A$41,0))),""))</f>
        <v/>
      </c>
      <c r="Q448" s="10" t="str">
        <f aca="false">IF(D448&lt;&gt;"",D448-1,IF(OR(A448="",C448="",N(P448)&lt;=0),"",(N(B448)*60+C448-IFERROR(N(INDEX(Tracks!$G$2:$G$41,MATCH(A448,Tracks!$A$2:$A$41,0))),0))*P448/240))</f>
        <v/>
      </c>
      <c r="R448" s="9" t="str">
        <f aca="false">IF(Q448="","",INT(Q448)+1)</f>
        <v/>
      </c>
      <c r="S448" s="10" t="str">
        <f aca="false">IF(OR(Q448="",D448&lt;&gt;""),"",MIN(4.75,ROUND((Q448-INT(Q448))*16,0)/4+1))</f>
        <v/>
      </c>
      <c r="T448" s="11" t="str">
        <f aca="false">IF(OR(E448="",N(P448)&lt;=0),"",E448*P448/240)</f>
        <v/>
      </c>
      <c r="U448" s="9" t="str">
        <f aca="false">IF(Q448="","",IF(MIN(MOD(Q448,32),32-MOD(Q448,32))&lt;=0.25,32,IF(MIN(MOD(Q448,16),16-MOD(Q448,16))&lt;=0.25,16,IF(MIN(MOD(Q448,8),8-MOD(Q448,8))&lt;=0.25,8,""))))</f>
        <v/>
      </c>
      <c r="V448" s="9" t="str">
        <f aca="false">IF(OR(Q448="",T448=""),"",IF(MIN(MOD((Q448+T448),32),32-MOD((Q448+T448),32))&lt;=0.25,32,IF(MIN(MOD((Q448+T448),16),16-MOD((Q448+T448),16))&lt;=0.25,16,IF(MIN(MOD((Q448+T448),8),8-MOD((Q448+T448),8))&lt;=0.25,8,""))))</f>
        <v/>
      </c>
    </row>
    <row r="449" customFormat="false" ht="15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9" t="str">
        <f aca="false">IF(A449="","",IFERROR(INDEX(Tracks!$E$2:$E$41,MATCH(A449,Tracks!$A$2:$A$41,0)),"?"))</f>
        <v/>
      </c>
      <c r="P449" s="9" t="str">
        <f aca="false">IF(A449="","",IFERROR(N(INDEX(Tracks!$F$2:$F$41,MATCH(A449,Tracks!$A$2:$A$41,0))),""))</f>
        <v/>
      </c>
      <c r="Q449" s="10" t="str">
        <f aca="false">IF(D449&lt;&gt;"",D449-1,IF(OR(A449="",C449="",N(P449)&lt;=0),"",(N(B449)*60+C449-IFERROR(N(INDEX(Tracks!$G$2:$G$41,MATCH(A449,Tracks!$A$2:$A$41,0))),0))*P449/240))</f>
        <v/>
      </c>
      <c r="R449" s="9" t="str">
        <f aca="false">IF(Q449="","",INT(Q449)+1)</f>
        <v/>
      </c>
      <c r="S449" s="10" t="str">
        <f aca="false">IF(OR(Q449="",D449&lt;&gt;""),"",MIN(4.75,ROUND((Q449-INT(Q449))*16,0)/4+1))</f>
        <v/>
      </c>
      <c r="T449" s="11" t="str">
        <f aca="false">IF(OR(E449="",N(P449)&lt;=0),"",E449*P449/240)</f>
        <v/>
      </c>
      <c r="U449" s="9" t="str">
        <f aca="false">IF(Q449="","",IF(MIN(MOD(Q449,32),32-MOD(Q449,32))&lt;=0.25,32,IF(MIN(MOD(Q449,16),16-MOD(Q449,16))&lt;=0.25,16,IF(MIN(MOD(Q449,8),8-MOD(Q449,8))&lt;=0.25,8,""))))</f>
        <v/>
      </c>
      <c r="V449" s="9" t="str">
        <f aca="false">IF(OR(Q449="",T449=""),"",IF(MIN(MOD((Q449+T449),32),32-MOD((Q449+T449),32))&lt;=0.25,32,IF(MIN(MOD((Q449+T449),16),16-MOD((Q449+T449),16))&lt;=0.25,16,IF(MIN(MOD((Q449+T449),8),8-MOD((Q449+T449),8))&lt;=0.25,8,""))))</f>
        <v/>
      </c>
    </row>
    <row r="450" customFormat="false" ht="15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9" t="str">
        <f aca="false">IF(A450="","",IFERROR(INDEX(Tracks!$E$2:$E$41,MATCH(A450,Tracks!$A$2:$A$41,0)),"?"))</f>
        <v/>
      </c>
      <c r="P450" s="9" t="str">
        <f aca="false">IF(A450="","",IFERROR(N(INDEX(Tracks!$F$2:$F$41,MATCH(A450,Tracks!$A$2:$A$41,0))),""))</f>
        <v/>
      </c>
      <c r="Q450" s="10" t="str">
        <f aca="false">IF(D450&lt;&gt;"",D450-1,IF(OR(A450="",C450="",N(P450)&lt;=0),"",(N(B450)*60+C450-IFERROR(N(INDEX(Tracks!$G$2:$G$41,MATCH(A450,Tracks!$A$2:$A$41,0))),0))*P450/240))</f>
        <v/>
      </c>
      <c r="R450" s="9" t="str">
        <f aca="false">IF(Q450="","",INT(Q450)+1)</f>
        <v/>
      </c>
      <c r="S450" s="10" t="str">
        <f aca="false">IF(OR(Q450="",D450&lt;&gt;""),"",MIN(4.75,ROUND((Q450-INT(Q450))*16,0)/4+1))</f>
        <v/>
      </c>
      <c r="T450" s="11" t="str">
        <f aca="false">IF(OR(E450="",N(P450)&lt;=0),"",E450*P450/240)</f>
        <v/>
      </c>
      <c r="U450" s="9" t="str">
        <f aca="false">IF(Q450="","",IF(MIN(MOD(Q450,32),32-MOD(Q450,32))&lt;=0.25,32,IF(MIN(MOD(Q450,16),16-MOD(Q450,16))&lt;=0.25,16,IF(MIN(MOD(Q450,8),8-MOD(Q450,8))&lt;=0.25,8,""))))</f>
        <v/>
      </c>
      <c r="V450" s="9" t="str">
        <f aca="false">IF(OR(Q450="",T450=""),"",IF(MIN(MOD((Q450+T450),32),32-MOD((Q450+T450),32))&lt;=0.25,32,IF(MIN(MOD((Q450+T450),16),16-MOD((Q450+T450),16))&lt;=0.25,16,IF(MIN(MOD((Q450+T450),8),8-MOD((Q450+T450),8))&lt;=0.25,8,""))))</f>
        <v/>
      </c>
    </row>
    <row r="451" customFormat="false" ht="15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9" t="str">
        <f aca="false">IF(A451="","",IFERROR(INDEX(Tracks!$E$2:$E$41,MATCH(A451,Tracks!$A$2:$A$41,0)),"?"))</f>
        <v/>
      </c>
      <c r="P451" s="9" t="str">
        <f aca="false">IF(A451="","",IFERROR(N(INDEX(Tracks!$F$2:$F$41,MATCH(A451,Tracks!$A$2:$A$41,0))),""))</f>
        <v/>
      </c>
      <c r="Q451" s="10" t="str">
        <f aca="false">IF(D451&lt;&gt;"",D451-1,IF(OR(A451="",C451="",N(P451)&lt;=0),"",(N(B451)*60+C451-IFERROR(N(INDEX(Tracks!$G$2:$G$41,MATCH(A451,Tracks!$A$2:$A$41,0))),0))*P451/240))</f>
        <v/>
      </c>
      <c r="R451" s="9" t="str">
        <f aca="false">IF(Q451="","",INT(Q451)+1)</f>
        <v/>
      </c>
      <c r="S451" s="10" t="str">
        <f aca="false">IF(OR(Q451="",D451&lt;&gt;""),"",MIN(4.75,ROUND((Q451-INT(Q451))*16,0)/4+1))</f>
        <v/>
      </c>
      <c r="T451" s="11" t="str">
        <f aca="false">IF(OR(E451="",N(P451)&lt;=0),"",E451*P451/240)</f>
        <v/>
      </c>
      <c r="U451" s="9" t="str">
        <f aca="false">IF(Q451="","",IF(MIN(MOD(Q451,32),32-MOD(Q451,32))&lt;=0.25,32,IF(MIN(MOD(Q451,16),16-MOD(Q451,16))&lt;=0.25,16,IF(MIN(MOD(Q451,8),8-MOD(Q451,8))&lt;=0.25,8,""))))</f>
        <v/>
      </c>
      <c r="V451" s="9" t="str">
        <f aca="false">IF(OR(Q451="",T451=""),"",IF(MIN(MOD((Q451+T451),32),32-MOD((Q451+T451),32))&lt;=0.25,32,IF(MIN(MOD((Q451+T451),16),16-MOD((Q451+T451),16))&lt;=0.25,16,IF(MIN(MOD((Q451+T451),8),8-MOD((Q451+T451),8))&lt;=0.25,8,""))))</f>
        <v/>
      </c>
    </row>
    <row r="452" customFormat="false" ht="15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9" t="str">
        <f aca="false">IF(A452="","",IFERROR(INDEX(Tracks!$E$2:$E$41,MATCH(A452,Tracks!$A$2:$A$41,0)),"?"))</f>
        <v/>
      </c>
      <c r="P452" s="9" t="str">
        <f aca="false">IF(A452="","",IFERROR(N(INDEX(Tracks!$F$2:$F$41,MATCH(A452,Tracks!$A$2:$A$41,0))),""))</f>
        <v/>
      </c>
      <c r="Q452" s="10" t="str">
        <f aca="false">IF(D452&lt;&gt;"",D452-1,IF(OR(A452="",C452="",N(P452)&lt;=0),"",(N(B452)*60+C452-IFERROR(N(INDEX(Tracks!$G$2:$G$41,MATCH(A452,Tracks!$A$2:$A$41,0))),0))*P452/240))</f>
        <v/>
      </c>
      <c r="R452" s="9" t="str">
        <f aca="false">IF(Q452="","",INT(Q452)+1)</f>
        <v/>
      </c>
      <c r="S452" s="10" t="str">
        <f aca="false">IF(OR(Q452="",D452&lt;&gt;""),"",MIN(4.75,ROUND((Q452-INT(Q452))*16,0)/4+1))</f>
        <v/>
      </c>
      <c r="T452" s="11" t="str">
        <f aca="false">IF(OR(E452="",N(P452)&lt;=0),"",E452*P452/240)</f>
        <v/>
      </c>
      <c r="U452" s="9" t="str">
        <f aca="false">IF(Q452="","",IF(MIN(MOD(Q452,32),32-MOD(Q452,32))&lt;=0.25,32,IF(MIN(MOD(Q452,16),16-MOD(Q452,16))&lt;=0.25,16,IF(MIN(MOD(Q452,8),8-MOD(Q452,8))&lt;=0.25,8,""))))</f>
        <v/>
      </c>
      <c r="V452" s="9" t="str">
        <f aca="false">IF(OR(Q452="",T452=""),"",IF(MIN(MOD((Q452+T452),32),32-MOD((Q452+T452),32))&lt;=0.25,32,IF(MIN(MOD((Q452+T452),16),16-MOD((Q452+T452),16))&lt;=0.25,16,IF(MIN(MOD((Q452+T452),8),8-MOD((Q452+T452),8))&lt;=0.25,8,""))))</f>
        <v/>
      </c>
    </row>
    <row r="453" customFormat="false" ht="15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9" t="str">
        <f aca="false">IF(A453="","",IFERROR(INDEX(Tracks!$E$2:$E$41,MATCH(A453,Tracks!$A$2:$A$41,0)),"?"))</f>
        <v/>
      </c>
      <c r="P453" s="9" t="str">
        <f aca="false">IF(A453="","",IFERROR(N(INDEX(Tracks!$F$2:$F$41,MATCH(A453,Tracks!$A$2:$A$41,0))),""))</f>
        <v/>
      </c>
      <c r="Q453" s="10" t="str">
        <f aca="false">IF(D453&lt;&gt;"",D453-1,IF(OR(A453="",C453="",N(P453)&lt;=0),"",(N(B453)*60+C453-IFERROR(N(INDEX(Tracks!$G$2:$G$41,MATCH(A453,Tracks!$A$2:$A$41,0))),0))*P453/240))</f>
        <v/>
      </c>
      <c r="R453" s="9" t="str">
        <f aca="false">IF(Q453="","",INT(Q453)+1)</f>
        <v/>
      </c>
      <c r="S453" s="10" t="str">
        <f aca="false">IF(OR(Q453="",D453&lt;&gt;""),"",MIN(4.75,ROUND((Q453-INT(Q453))*16,0)/4+1))</f>
        <v/>
      </c>
      <c r="T453" s="11" t="str">
        <f aca="false">IF(OR(E453="",N(P453)&lt;=0),"",E453*P453/240)</f>
        <v/>
      </c>
      <c r="U453" s="9" t="str">
        <f aca="false">IF(Q453="","",IF(MIN(MOD(Q453,32),32-MOD(Q453,32))&lt;=0.25,32,IF(MIN(MOD(Q453,16),16-MOD(Q453,16))&lt;=0.25,16,IF(MIN(MOD(Q453,8),8-MOD(Q453,8))&lt;=0.25,8,""))))</f>
        <v/>
      </c>
      <c r="V453" s="9" t="str">
        <f aca="false">IF(OR(Q453="",T453=""),"",IF(MIN(MOD((Q453+T453),32),32-MOD((Q453+T453),32))&lt;=0.25,32,IF(MIN(MOD((Q453+T453),16),16-MOD((Q453+T453),16))&lt;=0.25,16,IF(MIN(MOD((Q453+T453),8),8-MOD((Q453+T453),8))&lt;=0.25,8,""))))</f>
        <v/>
      </c>
    </row>
    <row r="454" customFormat="false" ht="15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9" t="str">
        <f aca="false">IF(A454="","",IFERROR(INDEX(Tracks!$E$2:$E$41,MATCH(A454,Tracks!$A$2:$A$41,0)),"?"))</f>
        <v/>
      </c>
      <c r="P454" s="9" t="str">
        <f aca="false">IF(A454="","",IFERROR(N(INDEX(Tracks!$F$2:$F$41,MATCH(A454,Tracks!$A$2:$A$41,0))),""))</f>
        <v/>
      </c>
      <c r="Q454" s="10" t="str">
        <f aca="false">IF(D454&lt;&gt;"",D454-1,IF(OR(A454="",C454="",N(P454)&lt;=0),"",(N(B454)*60+C454-IFERROR(N(INDEX(Tracks!$G$2:$G$41,MATCH(A454,Tracks!$A$2:$A$41,0))),0))*P454/240))</f>
        <v/>
      </c>
      <c r="R454" s="9" t="str">
        <f aca="false">IF(Q454="","",INT(Q454)+1)</f>
        <v/>
      </c>
      <c r="S454" s="10" t="str">
        <f aca="false">IF(OR(Q454="",D454&lt;&gt;""),"",MIN(4.75,ROUND((Q454-INT(Q454))*16,0)/4+1))</f>
        <v/>
      </c>
      <c r="T454" s="11" t="str">
        <f aca="false">IF(OR(E454="",N(P454)&lt;=0),"",E454*P454/240)</f>
        <v/>
      </c>
      <c r="U454" s="9" t="str">
        <f aca="false">IF(Q454="","",IF(MIN(MOD(Q454,32),32-MOD(Q454,32))&lt;=0.25,32,IF(MIN(MOD(Q454,16),16-MOD(Q454,16))&lt;=0.25,16,IF(MIN(MOD(Q454,8),8-MOD(Q454,8))&lt;=0.25,8,""))))</f>
        <v/>
      </c>
      <c r="V454" s="9" t="str">
        <f aca="false">IF(OR(Q454="",T454=""),"",IF(MIN(MOD((Q454+T454),32),32-MOD((Q454+T454),32))&lt;=0.25,32,IF(MIN(MOD((Q454+T454),16),16-MOD((Q454+T454),16))&lt;=0.25,16,IF(MIN(MOD((Q454+T454),8),8-MOD((Q454+T454),8))&lt;=0.25,8,""))))</f>
        <v/>
      </c>
    </row>
    <row r="455" customFormat="false" ht="15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9" t="str">
        <f aca="false">IF(A455="","",IFERROR(INDEX(Tracks!$E$2:$E$41,MATCH(A455,Tracks!$A$2:$A$41,0)),"?"))</f>
        <v/>
      </c>
      <c r="P455" s="9" t="str">
        <f aca="false">IF(A455="","",IFERROR(N(INDEX(Tracks!$F$2:$F$41,MATCH(A455,Tracks!$A$2:$A$41,0))),""))</f>
        <v/>
      </c>
      <c r="Q455" s="10" t="str">
        <f aca="false">IF(D455&lt;&gt;"",D455-1,IF(OR(A455="",C455="",N(P455)&lt;=0),"",(N(B455)*60+C455-IFERROR(N(INDEX(Tracks!$G$2:$G$41,MATCH(A455,Tracks!$A$2:$A$41,0))),0))*P455/240))</f>
        <v/>
      </c>
      <c r="R455" s="9" t="str">
        <f aca="false">IF(Q455="","",INT(Q455)+1)</f>
        <v/>
      </c>
      <c r="S455" s="10" t="str">
        <f aca="false">IF(OR(Q455="",D455&lt;&gt;""),"",MIN(4.75,ROUND((Q455-INT(Q455))*16,0)/4+1))</f>
        <v/>
      </c>
      <c r="T455" s="11" t="str">
        <f aca="false">IF(OR(E455="",N(P455)&lt;=0),"",E455*P455/240)</f>
        <v/>
      </c>
      <c r="U455" s="9" t="str">
        <f aca="false">IF(Q455="","",IF(MIN(MOD(Q455,32),32-MOD(Q455,32))&lt;=0.25,32,IF(MIN(MOD(Q455,16),16-MOD(Q455,16))&lt;=0.25,16,IF(MIN(MOD(Q455,8),8-MOD(Q455,8))&lt;=0.25,8,""))))</f>
        <v/>
      </c>
      <c r="V455" s="9" t="str">
        <f aca="false">IF(OR(Q455="",T455=""),"",IF(MIN(MOD((Q455+T455),32),32-MOD((Q455+T455),32))&lt;=0.25,32,IF(MIN(MOD((Q455+T455),16),16-MOD((Q455+T455),16))&lt;=0.25,16,IF(MIN(MOD((Q455+T455),8),8-MOD((Q455+T455),8))&lt;=0.25,8,""))))</f>
        <v/>
      </c>
    </row>
    <row r="456" customFormat="false" ht="15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9" t="str">
        <f aca="false">IF(A456="","",IFERROR(INDEX(Tracks!$E$2:$E$41,MATCH(A456,Tracks!$A$2:$A$41,0)),"?"))</f>
        <v/>
      </c>
      <c r="P456" s="9" t="str">
        <f aca="false">IF(A456="","",IFERROR(N(INDEX(Tracks!$F$2:$F$41,MATCH(A456,Tracks!$A$2:$A$41,0))),""))</f>
        <v/>
      </c>
      <c r="Q456" s="10" t="str">
        <f aca="false">IF(D456&lt;&gt;"",D456-1,IF(OR(A456="",C456="",N(P456)&lt;=0),"",(N(B456)*60+C456-IFERROR(N(INDEX(Tracks!$G$2:$G$41,MATCH(A456,Tracks!$A$2:$A$41,0))),0))*P456/240))</f>
        <v/>
      </c>
      <c r="R456" s="9" t="str">
        <f aca="false">IF(Q456="","",INT(Q456)+1)</f>
        <v/>
      </c>
      <c r="S456" s="10" t="str">
        <f aca="false">IF(OR(Q456="",D456&lt;&gt;""),"",MIN(4.75,ROUND((Q456-INT(Q456))*16,0)/4+1))</f>
        <v/>
      </c>
      <c r="T456" s="11" t="str">
        <f aca="false">IF(OR(E456="",N(P456)&lt;=0),"",E456*P456/240)</f>
        <v/>
      </c>
      <c r="U456" s="9" t="str">
        <f aca="false">IF(Q456="","",IF(MIN(MOD(Q456,32),32-MOD(Q456,32))&lt;=0.25,32,IF(MIN(MOD(Q456,16),16-MOD(Q456,16))&lt;=0.25,16,IF(MIN(MOD(Q456,8),8-MOD(Q456,8))&lt;=0.25,8,""))))</f>
        <v/>
      </c>
      <c r="V456" s="9" t="str">
        <f aca="false">IF(OR(Q456="",T456=""),"",IF(MIN(MOD((Q456+T456),32),32-MOD((Q456+T456),32))&lt;=0.25,32,IF(MIN(MOD((Q456+T456),16),16-MOD((Q456+T456),16))&lt;=0.25,16,IF(MIN(MOD((Q456+T456),8),8-MOD((Q456+T456),8))&lt;=0.25,8,""))))</f>
        <v/>
      </c>
    </row>
    <row r="457" customFormat="false" ht="15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9" t="str">
        <f aca="false">IF(A457="","",IFERROR(INDEX(Tracks!$E$2:$E$41,MATCH(A457,Tracks!$A$2:$A$41,0)),"?"))</f>
        <v/>
      </c>
      <c r="P457" s="9" t="str">
        <f aca="false">IF(A457="","",IFERROR(N(INDEX(Tracks!$F$2:$F$41,MATCH(A457,Tracks!$A$2:$A$41,0))),""))</f>
        <v/>
      </c>
      <c r="Q457" s="10" t="str">
        <f aca="false">IF(D457&lt;&gt;"",D457-1,IF(OR(A457="",C457="",N(P457)&lt;=0),"",(N(B457)*60+C457-IFERROR(N(INDEX(Tracks!$G$2:$G$41,MATCH(A457,Tracks!$A$2:$A$41,0))),0))*P457/240))</f>
        <v/>
      </c>
      <c r="R457" s="9" t="str">
        <f aca="false">IF(Q457="","",INT(Q457)+1)</f>
        <v/>
      </c>
      <c r="S457" s="10" t="str">
        <f aca="false">IF(OR(Q457="",D457&lt;&gt;""),"",MIN(4.75,ROUND((Q457-INT(Q457))*16,0)/4+1))</f>
        <v/>
      </c>
      <c r="T457" s="11" t="str">
        <f aca="false">IF(OR(E457="",N(P457)&lt;=0),"",E457*P457/240)</f>
        <v/>
      </c>
      <c r="U457" s="9" t="str">
        <f aca="false">IF(Q457="","",IF(MIN(MOD(Q457,32),32-MOD(Q457,32))&lt;=0.25,32,IF(MIN(MOD(Q457,16),16-MOD(Q457,16))&lt;=0.25,16,IF(MIN(MOD(Q457,8),8-MOD(Q457,8))&lt;=0.25,8,""))))</f>
        <v/>
      </c>
      <c r="V457" s="9" t="str">
        <f aca="false">IF(OR(Q457="",T457=""),"",IF(MIN(MOD((Q457+T457),32),32-MOD((Q457+T457),32))&lt;=0.25,32,IF(MIN(MOD((Q457+T457),16),16-MOD((Q457+T457),16))&lt;=0.25,16,IF(MIN(MOD((Q457+T457),8),8-MOD((Q457+T457),8))&lt;=0.25,8,""))))</f>
        <v/>
      </c>
    </row>
    <row r="458" customFormat="false" ht="15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9" t="str">
        <f aca="false">IF(A458="","",IFERROR(INDEX(Tracks!$E$2:$E$41,MATCH(A458,Tracks!$A$2:$A$41,0)),"?"))</f>
        <v/>
      </c>
      <c r="P458" s="9" t="str">
        <f aca="false">IF(A458="","",IFERROR(N(INDEX(Tracks!$F$2:$F$41,MATCH(A458,Tracks!$A$2:$A$41,0))),""))</f>
        <v/>
      </c>
      <c r="Q458" s="10" t="str">
        <f aca="false">IF(D458&lt;&gt;"",D458-1,IF(OR(A458="",C458="",N(P458)&lt;=0),"",(N(B458)*60+C458-IFERROR(N(INDEX(Tracks!$G$2:$G$41,MATCH(A458,Tracks!$A$2:$A$41,0))),0))*P458/240))</f>
        <v/>
      </c>
      <c r="R458" s="9" t="str">
        <f aca="false">IF(Q458="","",INT(Q458)+1)</f>
        <v/>
      </c>
      <c r="S458" s="10" t="str">
        <f aca="false">IF(OR(Q458="",D458&lt;&gt;""),"",MIN(4.75,ROUND((Q458-INT(Q458))*16,0)/4+1))</f>
        <v/>
      </c>
      <c r="T458" s="11" t="str">
        <f aca="false">IF(OR(E458="",N(P458)&lt;=0),"",E458*P458/240)</f>
        <v/>
      </c>
      <c r="U458" s="9" t="str">
        <f aca="false">IF(Q458="","",IF(MIN(MOD(Q458,32),32-MOD(Q458,32))&lt;=0.25,32,IF(MIN(MOD(Q458,16),16-MOD(Q458,16))&lt;=0.25,16,IF(MIN(MOD(Q458,8),8-MOD(Q458,8))&lt;=0.25,8,""))))</f>
        <v/>
      </c>
      <c r="V458" s="9" t="str">
        <f aca="false">IF(OR(Q458="",T458=""),"",IF(MIN(MOD((Q458+T458),32),32-MOD((Q458+T458),32))&lt;=0.25,32,IF(MIN(MOD((Q458+T458),16),16-MOD((Q458+T458),16))&lt;=0.25,16,IF(MIN(MOD((Q458+T458),8),8-MOD((Q458+T458),8))&lt;=0.25,8,""))))</f>
        <v/>
      </c>
    </row>
    <row r="459" customFormat="false" ht="15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9" t="str">
        <f aca="false">IF(A459="","",IFERROR(INDEX(Tracks!$E$2:$E$41,MATCH(A459,Tracks!$A$2:$A$41,0)),"?"))</f>
        <v/>
      </c>
      <c r="P459" s="9" t="str">
        <f aca="false">IF(A459="","",IFERROR(N(INDEX(Tracks!$F$2:$F$41,MATCH(A459,Tracks!$A$2:$A$41,0))),""))</f>
        <v/>
      </c>
      <c r="Q459" s="10" t="str">
        <f aca="false">IF(D459&lt;&gt;"",D459-1,IF(OR(A459="",C459="",N(P459)&lt;=0),"",(N(B459)*60+C459-IFERROR(N(INDEX(Tracks!$G$2:$G$41,MATCH(A459,Tracks!$A$2:$A$41,0))),0))*P459/240))</f>
        <v/>
      </c>
      <c r="R459" s="9" t="str">
        <f aca="false">IF(Q459="","",INT(Q459)+1)</f>
        <v/>
      </c>
      <c r="S459" s="10" t="str">
        <f aca="false">IF(OR(Q459="",D459&lt;&gt;""),"",MIN(4.75,ROUND((Q459-INT(Q459))*16,0)/4+1))</f>
        <v/>
      </c>
      <c r="T459" s="11" t="str">
        <f aca="false">IF(OR(E459="",N(P459)&lt;=0),"",E459*P459/240)</f>
        <v/>
      </c>
      <c r="U459" s="9" t="str">
        <f aca="false">IF(Q459="","",IF(MIN(MOD(Q459,32),32-MOD(Q459,32))&lt;=0.25,32,IF(MIN(MOD(Q459,16),16-MOD(Q459,16))&lt;=0.25,16,IF(MIN(MOD(Q459,8),8-MOD(Q459,8))&lt;=0.25,8,""))))</f>
        <v/>
      </c>
      <c r="V459" s="9" t="str">
        <f aca="false">IF(OR(Q459="",T459=""),"",IF(MIN(MOD((Q459+T459),32),32-MOD((Q459+T459),32))&lt;=0.25,32,IF(MIN(MOD((Q459+T459),16),16-MOD((Q459+T459),16))&lt;=0.25,16,IF(MIN(MOD((Q459+T459),8),8-MOD((Q459+T459),8))&lt;=0.25,8,""))))</f>
        <v/>
      </c>
    </row>
    <row r="460" customFormat="false" ht="15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9" t="str">
        <f aca="false">IF(A460="","",IFERROR(INDEX(Tracks!$E$2:$E$41,MATCH(A460,Tracks!$A$2:$A$41,0)),"?"))</f>
        <v/>
      </c>
      <c r="P460" s="9" t="str">
        <f aca="false">IF(A460="","",IFERROR(N(INDEX(Tracks!$F$2:$F$41,MATCH(A460,Tracks!$A$2:$A$41,0))),""))</f>
        <v/>
      </c>
      <c r="Q460" s="10" t="str">
        <f aca="false">IF(D460&lt;&gt;"",D460-1,IF(OR(A460="",C460="",N(P460)&lt;=0),"",(N(B460)*60+C460-IFERROR(N(INDEX(Tracks!$G$2:$G$41,MATCH(A460,Tracks!$A$2:$A$41,0))),0))*P460/240))</f>
        <v/>
      </c>
      <c r="R460" s="9" t="str">
        <f aca="false">IF(Q460="","",INT(Q460)+1)</f>
        <v/>
      </c>
      <c r="S460" s="10" t="str">
        <f aca="false">IF(OR(Q460="",D460&lt;&gt;""),"",MIN(4.75,ROUND((Q460-INT(Q460))*16,0)/4+1))</f>
        <v/>
      </c>
      <c r="T460" s="11" t="str">
        <f aca="false">IF(OR(E460="",N(P460)&lt;=0),"",E460*P460/240)</f>
        <v/>
      </c>
      <c r="U460" s="9" t="str">
        <f aca="false">IF(Q460="","",IF(MIN(MOD(Q460,32),32-MOD(Q460,32))&lt;=0.25,32,IF(MIN(MOD(Q460,16),16-MOD(Q460,16))&lt;=0.25,16,IF(MIN(MOD(Q460,8),8-MOD(Q460,8))&lt;=0.25,8,""))))</f>
        <v/>
      </c>
      <c r="V460" s="9" t="str">
        <f aca="false">IF(OR(Q460="",T460=""),"",IF(MIN(MOD((Q460+T460),32),32-MOD((Q460+T460),32))&lt;=0.25,32,IF(MIN(MOD((Q460+T460),16),16-MOD((Q460+T460),16))&lt;=0.25,16,IF(MIN(MOD((Q460+T460),8),8-MOD((Q460+T460),8))&lt;=0.25,8,""))))</f>
        <v/>
      </c>
    </row>
    <row r="461" customFormat="false" ht="15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9" t="str">
        <f aca="false">IF(A461="","",IFERROR(INDEX(Tracks!$E$2:$E$41,MATCH(A461,Tracks!$A$2:$A$41,0)),"?"))</f>
        <v/>
      </c>
      <c r="P461" s="9" t="str">
        <f aca="false">IF(A461="","",IFERROR(N(INDEX(Tracks!$F$2:$F$41,MATCH(A461,Tracks!$A$2:$A$41,0))),""))</f>
        <v/>
      </c>
      <c r="Q461" s="10" t="str">
        <f aca="false">IF(D461&lt;&gt;"",D461-1,IF(OR(A461="",C461="",N(P461)&lt;=0),"",(N(B461)*60+C461-IFERROR(N(INDEX(Tracks!$G$2:$G$41,MATCH(A461,Tracks!$A$2:$A$41,0))),0))*P461/240))</f>
        <v/>
      </c>
      <c r="R461" s="9" t="str">
        <f aca="false">IF(Q461="","",INT(Q461)+1)</f>
        <v/>
      </c>
      <c r="S461" s="10" t="str">
        <f aca="false">IF(OR(Q461="",D461&lt;&gt;""),"",MIN(4.75,ROUND((Q461-INT(Q461))*16,0)/4+1))</f>
        <v/>
      </c>
      <c r="T461" s="11" t="str">
        <f aca="false">IF(OR(E461="",N(P461)&lt;=0),"",E461*P461/240)</f>
        <v/>
      </c>
      <c r="U461" s="9" t="str">
        <f aca="false">IF(Q461="","",IF(MIN(MOD(Q461,32),32-MOD(Q461,32))&lt;=0.25,32,IF(MIN(MOD(Q461,16),16-MOD(Q461,16))&lt;=0.25,16,IF(MIN(MOD(Q461,8),8-MOD(Q461,8))&lt;=0.25,8,""))))</f>
        <v/>
      </c>
      <c r="V461" s="9" t="str">
        <f aca="false">IF(OR(Q461="",T461=""),"",IF(MIN(MOD((Q461+T461),32),32-MOD((Q461+T461),32))&lt;=0.25,32,IF(MIN(MOD((Q461+T461),16),16-MOD((Q461+T461),16))&lt;=0.25,16,IF(MIN(MOD((Q461+T461),8),8-MOD((Q461+T461),8))&lt;=0.25,8,""))))</f>
        <v/>
      </c>
    </row>
    <row r="462" customFormat="false" ht="15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9" t="str">
        <f aca="false">IF(A462="","",IFERROR(INDEX(Tracks!$E$2:$E$41,MATCH(A462,Tracks!$A$2:$A$41,0)),"?"))</f>
        <v/>
      </c>
      <c r="P462" s="9" t="str">
        <f aca="false">IF(A462="","",IFERROR(N(INDEX(Tracks!$F$2:$F$41,MATCH(A462,Tracks!$A$2:$A$41,0))),""))</f>
        <v/>
      </c>
      <c r="Q462" s="10" t="str">
        <f aca="false">IF(D462&lt;&gt;"",D462-1,IF(OR(A462="",C462="",N(P462)&lt;=0),"",(N(B462)*60+C462-IFERROR(N(INDEX(Tracks!$G$2:$G$41,MATCH(A462,Tracks!$A$2:$A$41,0))),0))*P462/240))</f>
        <v/>
      </c>
      <c r="R462" s="9" t="str">
        <f aca="false">IF(Q462="","",INT(Q462)+1)</f>
        <v/>
      </c>
      <c r="S462" s="10" t="str">
        <f aca="false">IF(OR(Q462="",D462&lt;&gt;""),"",MIN(4.75,ROUND((Q462-INT(Q462))*16,0)/4+1))</f>
        <v/>
      </c>
      <c r="T462" s="11" t="str">
        <f aca="false">IF(OR(E462="",N(P462)&lt;=0),"",E462*P462/240)</f>
        <v/>
      </c>
      <c r="U462" s="9" t="str">
        <f aca="false">IF(Q462="","",IF(MIN(MOD(Q462,32),32-MOD(Q462,32))&lt;=0.25,32,IF(MIN(MOD(Q462,16),16-MOD(Q462,16))&lt;=0.25,16,IF(MIN(MOD(Q462,8),8-MOD(Q462,8))&lt;=0.25,8,""))))</f>
        <v/>
      </c>
      <c r="V462" s="9" t="str">
        <f aca="false">IF(OR(Q462="",T462=""),"",IF(MIN(MOD((Q462+T462),32),32-MOD((Q462+T462),32))&lt;=0.25,32,IF(MIN(MOD((Q462+T462),16),16-MOD((Q462+T462),16))&lt;=0.25,16,IF(MIN(MOD((Q462+T462),8),8-MOD((Q462+T462),8))&lt;=0.25,8,""))))</f>
        <v/>
      </c>
    </row>
    <row r="463" customFormat="false" ht="15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9" t="str">
        <f aca="false">IF(A463="","",IFERROR(INDEX(Tracks!$E$2:$E$41,MATCH(A463,Tracks!$A$2:$A$41,0)),"?"))</f>
        <v/>
      </c>
      <c r="P463" s="9" t="str">
        <f aca="false">IF(A463="","",IFERROR(N(INDEX(Tracks!$F$2:$F$41,MATCH(A463,Tracks!$A$2:$A$41,0))),""))</f>
        <v/>
      </c>
      <c r="Q463" s="10" t="str">
        <f aca="false">IF(D463&lt;&gt;"",D463-1,IF(OR(A463="",C463="",N(P463)&lt;=0),"",(N(B463)*60+C463-IFERROR(N(INDEX(Tracks!$G$2:$G$41,MATCH(A463,Tracks!$A$2:$A$41,0))),0))*P463/240))</f>
        <v/>
      </c>
      <c r="R463" s="9" t="str">
        <f aca="false">IF(Q463="","",INT(Q463)+1)</f>
        <v/>
      </c>
      <c r="S463" s="10" t="str">
        <f aca="false">IF(OR(Q463="",D463&lt;&gt;""),"",MIN(4.75,ROUND((Q463-INT(Q463))*16,0)/4+1))</f>
        <v/>
      </c>
      <c r="T463" s="11" t="str">
        <f aca="false">IF(OR(E463="",N(P463)&lt;=0),"",E463*P463/240)</f>
        <v/>
      </c>
      <c r="U463" s="9" t="str">
        <f aca="false">IF(Q463="","",IF(MIN(MOD(Q463,32),32-MOD(Q463,32))&lt;=0.25,32,IF(MIN(MOD(Q463,16),16-MOD(Q463,16))&lt;=0.25,16,IF(MIN(MOD(Q463,8),8-MOD(Q463,8))&lt;=0.25,8,""))))</f>
        <v/>
      </c>
      <c r="V463" s="9" t="str">
        <f aca="false">IF(OR(Q463="",T463=""),"",IF(MIN(MOD((Q463+T463),32),32-MOD((Q463+T463),32))&lt;=0.25,32,IF(MIN(MOD((Q463+T463),16),16-MOD((Q463+T463),16))&lt;=0.25,16,IF(MIN(MOD((Q463+T463),8),8-MOD((Q463+T463),8))&lt;=0.25,8,""))))</f>
        <v/>
      </c>
    </row>
    <row r="464" customFormat="false" ht="15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9" t="str">
        <f aca="false">IF(A464="","",IFERROR(INDEX(Tracks!$E$2:$E$41,MATCH(A464,Tracks!$A$2:$A$41,0)),"?"))</f>
        <v/>
      </c>
      <c r="P464" s="9" t="str">
        <f aca="false">IF(A464="","",IFERROR(N(INDEX(Tracks!$F$2:$F$41,MATCH(A464,Tracks!$A$2:$A$41,0))),""))</f>
        <v/>
      </c>
      <c r="Q464" s="10" t="str">
        <f aca="false">IF(D464&lt;&gt;"",D464-1,IF(OR(A464="",C464="",N(P464)&lt;=0),"",(N(B464)*60+C464-IFERROR(N(INDEX(Tracks!$G$2:$G$41,MATCH(A464,Tracks!$A$2:$A$41,0))),0))*P464/240))</f>
        <v/>
      </c>
      <c r="R464" s="9" t="str">
        <f aca="false">IF(Q464="","",INT(Q464)+1)</f>
        <v/>
      </c>
      <c r="S464" s="10" t="str">
        <f aca="false">IF(OR(Q464="",D464&lt;&gt;""),"",MIN(4.75,ROUND((Q464-INT(Q464))*16,0)/4+1))</f>
        <v/>
      </c>
      <c r="T464" s="11" t="str">
        <f aca="false">IF(OR(E464="",N(P464)&lt;=0),"",E464*P464/240)</f>
        <v/>
      </c>
      <c r="U464" s="9" t="str">
        <f aca="false">IF(Q464="","",IF(MIN(MOD(Q464,32),32-MOD(Q464,32))&lt;=0.25,32,IF(MIN(MOD(Q464,16),16-MOD(Q464,16))&lt;=0.25,16,IF(MIN(MOD(Q464,8),8-MOD(Q464,8))&lt;=0.25,8,""))))</f>
        <v/>
      </c>
      <c r="V464" s="9" t="str">
        <f aca="false">IF(OR(Q464="",T464=""),"",IF(MIN(MOD((Q464+T464),32),32-MOD((Q464+T464),32))&lt;=0.25,32,IF(MIN(MOD((Q464+T464),16),16-MOD((Q464+T464),16))&lt;=0.25,16,IF(MIN(MOD((Q464+T464),8),8-MOD((Q464+T464),8))&lt;=0.25,8,""))))</f>
        <v/>
      </c>
    </row>
    <row r="465" customFormat="false" ht="15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9" t="str">
        <f aca="false">IF(A465="","",IFERROR(INDEX(Tracks!$E$2:$E$41,MATCH(A465,Tracks!$A$2:$A$41,0)),"?"))</f>
        <v/>
      </c>
      <c r="P465" s="9" t="str">
        <f aca="false">IF(A465="","",IFERROR(N(INDEX(Tracks!$F$2:$F$41,MATCH(A465,Tracks!$A$2:$A$41,0))),""))</f>
        <v/>
      </c>
      <c r="Q465" s="10" t="str">
        <f aca="false">IF(D465&lt;&gt;"",D465-1,IF(OR(A465="",C465="",N(P465)&lt;=0),"",(N(B465)*60+C465-IFERROR(N(INDEX(Tracks!$G$2:$G$41,MATCH(A465,Tracks!$A$2:$A$41,0))),0))*P465/240))</f>
        <v/>
      </c>
      <c r="R465" s="9" t="str">
        <f aca="false">IF(Q465="","",INT(Q465)+1)</f>
        <v/>
      </c>
      <c r="S465" s="10" t="str">
        <f aca="false">IF(OR(Q465="",D465&lt;&gt;""),"",MIN(4.75,ROUND((Q465-INT(Q465))*16,0)/4+1))</f>
        <v/>
      </c>
      <c r="T465" s="11" t="str">
        <f aca="false">IF(OR(E465="",N(P465)&lt;=0),"",E465*P465/240)</f>
        <v/>
      </c>
      <c r="U465" s="9" t="str">
        <f aca="false">IF(Q465="","",IF(MIN(MOD(Q465,32),32-MOD(Q465,32))&lt;=0.25,32,IF(MIN(MOD(Q465,16),16-MOD(Q465,16))&lt;=0.25,16,IF(MIN(MOD(Q465,8),8-MOD(Q465,8))&lt;=0.25,8,""))))</f>
        <v/>
      </c>
      <c r="V465" s="9" t="str">
        <f aca="false">IF(OR(Q465="",T465=""),"",IF(MIN(MOD((Q465+T465),32),32-MOD((Q465+T465),32))&lt;=0.25,32,IF(MIN(MOD((Q465+T465),16),16-MOD((Q465+T465),16))&lt;=0.25,16,IF(MIN(MOD((Q465+T465),8),8-MOD((Q465+T465),8))&lt;=0.25,8,""))))</f>
        <v/>
      </c>
    </row>
    <row r="466" customFormat="false" ht="15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9" t="str">
        <f aca="false">IF(A466="","",IFERROR(INDEX(Tracks!$E$2:$E$41,MATCH(A466,Tracks!$A$2:$A$41,0)),"?"))</f>
        <v/>
      </c>
      <c r="P466" s="9" t="str">
        <f aca="false">IF(A466="","",IFERROR(N(INDEX(Tracks!$F$2:$F$41,MATCH(A466,Tracks!$A$2:$A$41,0))),""))</f>
        <v/>
      </c>
      <c r="Q466" s="10" t="str">
        <f aca="false">IF(D466&lt;&gt;"",D466-1,IF(OR(A466="",C466="",N(P466)&lt;=0),"",(N(B466)*60+C466-IFERROR(N(INDEX(Tracks!$G$2:$G$41,MATCH(A466,Tracks!$A$2:$A$41,0))),0))*P466/240))</f>
        <v/>
      </c>
      <c r="R466" s="9" t="str">
        <f aca="false">IF(Q466="","",INT(Q466)+1)</f>
        <v/>
      </c>
      <c r="S466" s="10" t="str">
        <f aca="false">IF(OR(Q466="",D466&lt;&gt;""),"",MIN(4.75,ROUND((Q466-INT(Q466))*16,0)/4+1))</f>
        <v/>
      </c>
      <c r="T466" s="11" t="str">
        <f aca="false">IF(OR(E466="",N(P466)&lt;=0),"",E466*P466/240)</f>
        <v/>
      </c>
      <c r="U466" s="9" t="str">
        <f aca="false">IF(Q466="","",IF(MIN(MOD(Q466,32),32-MOD(Q466,32))&lt;=0.25,32,IF(MIN(MOD(Q466,16),16-MOD(Q466,16))&lt;=0.25,16,IF(MIN(MOD(Q466,8),8-MOD(Q466,8))&lt;=0.25,8,""))))</f>
        <v/>
      </c>
      <c r="V466" s="9" t="str">
        <f aca="false">IF(OR(Q466="",T466=""),"",IF(MIN(MOD((Q466+T466),32),32-MOD((Q466+T466),32))&lt;=0.25,32,IF(MIN(MOD((Q466+T466),16),16-MOD((Q466+T466),16))&lt;=0.25,16,IF(MIN(MOD((Q466+T466),8),8-MOD((Q466+T466),8))&lt;=0.25,8,""))))</f>
        <v/>
      </c>
    </row>
    <row r="467" customFormat="false" ht="15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9" t="str">
        <f aca="false">IF(A467="","",IFERROR(INDEX(Tracks!$E$2:$E$41,MATCH(A467,Tracks!$A$2:$A$41,0)),"?"))</f>
        <v/>
      </c>
      <c r="P467" s="9" t="str">
        <f aca="false">IF(A467="","",IFERROR(N(INDEX(Tracks!$F$2:$F$41,MATCH(A467,Tracks!$A$2:$A$41,0))),""))</f>
        <v/>
      </c>
      <c r="Q467" s="10" t="str">
        <f aca="false">IF(D467&lt;&gt;"",D467-1,IF(OR(A467="",C467="",N(P467)&lt;=0),"",(N(B467)*60+C467-IFERROR(N(INDEX(Tracks!$G$2:$G$41,MATCH(A467,Tracks!$A$2:$A$41,0))),0))*P467/240))</f>
        <v/>
      </c>
      <c r="R467" s="9" t="str">
        <f aca="false">IF(Q467="","",INT(Q467)+1)</f>
        <v/>
      </c>
      <c r="S467" s="10" t="str">
        <f aca="false">IF(OR(Q467="",D467&lt;&gt;""),"",MIN(4.75,ROUND((Q467-INT(Q467))*16,0)/4+1))</f>
        <v/>
      </c>
      <c r="T467" s="11" t="str">
        <f aca="false">IF(OR(E467="",N(P467)&lt;=0),"",E467*P467/240)</f>
        <v/>
      </c>
      <c r="U467" s="9" t="str">
        <f aca="false">IF(Q467="","",IF(MIN(MOD(Q467,32),32-MOD(Q467,32))&lt;=0.25,32,IF(MIN(MOD(Q467,16),16-MOD(Q467,16))&lt;=0.25,16,IF(MIN(MOD(Q467,8),8-MOD(Q467,8))&lt;=0.25,8,""))))</f>
        <v/>
      </c>
      <c r="V467" s="9" t="str">
        <f aca="false">IF(OR(Q467="",T467=""),"",IF(MIN(MOD((Q467+T467),32),32-MOD((Q467+T467),32))&lt;=0.25,32,IF(MIN(MOD((Q467+T467),16),16-MOD((Q467+T467),16))&lt;=0.25,16,IF(MIN(MOD((Q467+T467),8),8-MOD((Q467+T467),8))&lt;=0.25,8,""))))</f>
        <v/>
      </c>
    </row>
    <row r="468" customFormat="false" ht="15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9" t="str">
        <f aca="false">IF(A468="","",IFERROR(INDEX(Tracks!$E$2:$E$41,MATCH(A468,Tracks!$A$2:$A$41,0)),"?"))</f>
        <v/>
      </c>
      <c r="P468" s="9" t="str">
        <f aca="false">IF(A468="","",IFERROR(N(INDEX(Tracks!$F$2:$F$41,MATCH(A468,Tracks!$A$2:$A$41,0))),""))</f>
        <v/>
      </c>
      <c r="Q468" s="10" t="str">
        <f aca="false">IF(D468&lt;&gt;"",D468-1,IF(OR(A468="",C468="",N(P468)&lt;=0),"",(N(B468)*60+C468-IFERROR(N(INDEX(Tracks!$G$2:$G$41,MATCH(A468,Tracks!$A$2:$A$41,0))),0))*P468/240))</f>
        <v/>
      </c>
      <c r="R468" s="9" t="str">
        <f aca="false">IF(Q468="","",INT(Q468)+1)</f>
        <v/>
      </c>
      <c r="S468" s="10" t="str">
        <f aca="false">IF(OR(Q468="",D468&lt;&gt;""),"",MIN(4.75,ROUND((Q468-INT(Q468))*16,0)/4+1))</f>
        <v/>
      </c>
      <c r="T468" s="11" t="str">
        <f aca="false">IF(OR(E468="",N(P468)&lt;=0),"",E468*P468/240)</f>
        <v/>
      </c>
      <c r="U468" s="9" t="str">
        <f aca="false">IF(Q468="","",IF(MIN(MOD(Q468,32),32-MOD(Q468,32))&lt;=0.25,32,IF(MIN(MOD(Q468,16),16-MOD(Q468,16))&lt;=0.25,16,IF(MIN(MOD(Q468,8),8-MOD(Q468,8))&lt;=0.25,8,""))))</f>
        <v/>
      </c>
      <c r="V468" s="9" t="str">
        <f aca="false">IF(OR(Q468="",T468=""),"",IF(MIN(MOD((Q468+T468),32),32-MOD((Q468+T468),32))&lt;=0.25,32,IF(MIN(MOD((Q468+T468),16),16-MOD((Q468+T468),16))&lt;=0.25,16,IF(MIN(MOD((Q468+T468),8),8-MOD((Q468+T468),8))&lt;=0.25,8,""))))</f>
        <v/>
      </c>
    </row>
    <row r="469" customFormat="false" ht="15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9" t="str">
        <f aca="false">IF(A469="","",IFERROR(INDEX(Tracks!$E$2:$E$41,MATCH(A469,Tracks!$A$2:$A$41,0)),"?"))</f>
        <v/>
      </c>
      <c r="P469" s="9" t="str">
        <f aca="false">IF(A469="","",IFERROR(N(INDEX(Tracks!$F$2:$F$41,MATCH(A469,Tracks!$A$2:$A$41,0))),""))</f>
        <v/>
      </c>
      <c r="Q469" s="10" t="str">
        <f aca="false">IF(D469&lt;&gt;"",D469-1,IF(OR(A469="",C469="",N(P469)&lt;=0),"",(N(B469)*60+C469-IFERROR(N(INDEX(Tracks!$G$2:$G$41,MATCH(A469,Tracks!$A$2:$A$41,0))),0))*P469/240))</f>
        <v/>
      </c>
      <c r="R469" s="9" t="str">
        <f aca="false">IF(Q469="","",INT(Q469)+1)</f>
        <v/>
      </c>
      <c r="S469" s="10" t="str">
        <f aca="false">IF(OR(Q469="",D469&lt;&gt;""),"",MIN(4.75,ROUND((Q469-INT(Q469))*16,0)/4+1))</f>
        <v/>
      </c>
      <c r="T469" s="11" t="str">
        <f aca="false">IF(OR(E469="",N(P469)&lt;=0),"",E469*P469/240)</f>
        <v/>
      </c>
      <c r="U469" s="9" t="str">
        <f aca="false">IF(Q469="","",IF(MIN(MOD(Q469,32),32-MOD(Q469,32))&lt;=0.25,32,IF(MIN(MOD(Q469,16),16-MOD(Q469,16))&lt;=0.25,16,IF(MIN(MOD(Q469,8),8-MOD(Q469,8))&lt;=0.25,8,""))))</f>
        <v/>
      </c>
      <c r="V469" s="9" t="str">
        <f aca="false">IF(OR(Q469="",T469=""),"",IF(MIN(MOD((Q469+T469),32),32-MOD((Q469+T469),32))&lt;=0.25,32,IF(MIN(MOD((Q469+T469),16),16-MOD((Q469+T469),16))&lt;=0.25,16,IF(MIN(MOD((Q469+T469),8),8-MOD((Q469+T469),8))&lt;=0.25,8,""))))</f>
        <v/>
      </c>
    </row>
    <row r="470" customFormat="false" ht="15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9" t="str">
        <f aca="false">IF(A470="","",IFERROR(INDEX(Tracks!$E$2:$E$41,MATCH(A470,Tracks!$A$2:$A$41,0)),"?"))</f>
        <v/>
      </c>
      <c r="P470" s="9" t="str">
        <f aca="false">IF(A470="","",IFERROR(N(INDEX(Tracks!$F$2:$F$41,MATCH(A470,Tracks!$A$2:$A$41,0))),""))</f>
        <v/>
      </c>
      <c r="Q470" s="10" t="str">
        <f aca="false">IF(D470&lt;&gt;"",D470-1,IF(OR(A470="",C470="",N(P470)&lt;=0),"",(N(B470)*60+C470-IFERROR(N(INDEX(Tracks!$G$2:$G$41,MATCH(A470,Tracks!$A$2:$A$41,0))),0))*P470/240))</f>
        <v/>
      </c>
      <c r="R470" s="9" t="str">
        <f aca="false">IF(Q470="","",INT(Q470)+1)</f>
        <v/>
      </c>
      <c r="S470" s="10" t="str">
        <f aca="false">IF(OR(Q470="",D470&lt;&gt;""),"",MIN(4.75,ROUND((Q470-INT(Q470))*16,0)/4+1))</f>
        <v/>
      </c>
      <c r="T470" s="11" t="str">
        <f aca="false">IF(OR(E470="",N(P470)&lt;=0),"",E470*P470/240)</f>
        <v/>
      </c>
      <c r="U470" s="9" t="str">
        <f aca="false">IF(Q470="","",IF(MIN(MOD(Q470,32),32-MOD(Q470,32))&lt;=0.25,32,IF(MIN(MOD(Q470,16),16-MOD(Q470,16))&lt;=0.25,16,IF(MIN(MOD(Q470,8),8-MOD(Q470,8))&lt;=0.25,8,""))))</f>
        <v/>
      </c>
      <c r="V470" s="9" t="str">
        <f aca="false">IF(OR(Q470="",T470=""),"",IF(MIN(MOD((Q470+T470),32),32-MOD((Q470+T470),32))&lt;=0.25,32,IF(MIN(MOD((Q470+T470),16),16-MOD((Q470+T470),16))&lt;=0.25,16,IF(MIN(MOD((Q470+T470),8),8-MOD((Q470+T470),8))&lt;=0.25,8,""))))</f>
        <v/>
      </c>
    </row>
    <row r="471" customFormat="false" ht="15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9" t="str">
        <f aca="false">IF(A471="","",IFERROR(INDEX(Tracks!$E$2:$E$41,MATCH(A471,Tracks!$A$2:$A$41,0)),"?"))</f>
        <v/>
      </c>
      <c r="P471" s="9" t="str">
        <f aca="false">IF(A471="","",IFERROR(N(INDEX(Tracks!$F$2:$F$41,MATCH(A471,Tracks!$A$2:$A$41,0))),""))</f>
        <v/>
      </c>
      <c r="Q471" s="10" t="str">
        <f aca="false">IF(D471&lt;&gt;"",D471-1,IF(OR(A471="",C471="",N(P471)&lt;=0),"",(N(B471)*60+C471-IFERROR(N(INDEX(Tracks!$G$2:$G$41,MATCH(A471,Tracks!$A$2:$A$41,0))),0))*P471/240))</f>
        <v/>
      </c>
      <c r="R471" s="9" t="str">
        <f aca="false">IF(Q471="","",INT(Q471)+1)</f>
        <v/>
      </c>
      <c r="S471" s="10" t="str">
        <f aca="false">IF(OR(Q471="",D471&lt;&gt;""),"",MIN(4.75,ROUND((Q471-INT(Q471))*16,0)/4+1))</f>
        <v/>
      </c>
      <c r="T471" s="11" t="str">
        <f aca="false">IF(OR(E471="",N(P471)&lt;=0),"",E471*P471/240)</f>
        <v/>
      </c>
      <c r="U471" s="9" t="str">
        <f aca="false">IF(Q471="","",IF(MIN(MOD(Q471,32),32-MOD(Q471,32))&lt;=0.25,32,IF(MIN(MOD(Q471,16),16-MOD(Q471,16))&lt;=0.25,16,IF(MIN(MOD(Q471,8),8-MOD(Q471,8))&lt;=0.25,8,""))))</f>
        <v/>
      </c>
      <c r="V471" s="9" t="str">
        <f aca="false">IF(OR(Q471="",T471=""),"",IF(MIN(MOD((Q471+T471),32),32-MOD((Q471+T471),32))&lt;=0.25,32,IF(MIN(MOD((Q471+T471),16),16-MOD((Q471+T471),16))&lt;=0.25,16,IF(MIN(MOD((Q471+T471),8),8-MOD((Q471+T471),8))&lt;=0.25,8,""))))</f>
        <v/>
      </c>
    </row>
    <row r="472" customFormat="false" ht="15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9" t="str">
        <f aca="false">IF(A472="","",IFERROR(INDEX(Tracks!$E$2:$E$41,MATCH(A472,Tracks!$A$2:$A$41,0)),"?"))</f>
        <v/>
      </c>
      <c r="P472" s="9" t="str">
        <f aca="false">IF(A472="","",IFERROR(N(INDEX(Tracks!$F$2:$F$41,MATCH(A472,Tracks!$A$2:$A$41,0))),""))</f>
        <v/>
      </c>
      <c r="Q472" s="10" t="str">
        <f aca="false">IF(D472&lt;&gt;"",D472-1,IF(OR(A472="",C472="",N(P472)&lt;=0),"",(N(B472)*60+C472-IFERROR(N(INDEX(Tracks!$G$2:$G$41,MATCH(A472,Tracks!$A$2:$A$41,0))),0))*P472/240))</f>
        <v/>
      </c>
      <c r="R472" s="9" t="str">
        <f aca="false">IF(Q472="","",INT(Q472)+1)</f>
        <v/>
      </c>
      <c r="S472" s="10" t="str">
        <f aca="false">IF(OR(Q472="",D472&lt;&gt;""),"",MIN(4.75,ROUND((Q472-INT(Q472))*16,0)/4+1))</f>
        <v/>
      </c>
      <c r="T472" s="11" t="str">
        <f aca="false">IF(OR(E472="",N(P472)&lt;=0),"",E472*P472/240)</f>
        <v/>
      </c>
      <c r="U472" s="9" t="str">
        <f aca="false">IF(Q472="","",IF(MIN(MOD(Q472,32),32-MOD(Q472,32))&lt;=0.25,32,IF(MIN(MOD(Q472,16),16-MOD(Q472,16))&lt;=0.25,16,IF(MIN(MOD(Q472,8),8-MOD(Q472,8))&lt;=0.25,8,""))))</f>
        <v/>
      </c>
      <c r="V472" s="9" t="str">
        <f aca="false">IF(OR(Q472="",T472=""),"",IF(MIN(MOD((Q472+T472),32),32-MOD((Q472+T472),32))&lt;=0.25,32,IF(MIN(MOD((Q472+T472),16),16-MOD((Q472+T472),16))&lt;=0.25,16,IF(MIN(MOD((Q472+T472),8),8-MOD((Q472+T472),8))&lt;=0.25,8,""))))</f>
        <v/>
      </c>
    </row>
    <row r="473" customFormat="false" ht="15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9" t="str">
        <f aca="false">IF(A473="","",IFERROR(INDEX(Tracks!$E$2:$E$41,MATCH(A473,Tracks!$A$2:$A$41,0)),"?"))</f>
        <v/>
      </c>
      <c r="P473" s="9" t="str">
        <f aca="false">IF(A473="","",IFERROR(N(INDEX(Tracks!$F$2:$F$41,MATCH(A473,Tracks!$A$2:$A$41,0))),""))</f>
        <v/>
      </c>
      <c r="Q473" s="10" t="str">
        <f aca="false">IF(D473&lt;&gt;"",D473-1,IF(OR(A473="",C473="",N(P473)&lt;=0),"",(N(B473)*60+C473-IFERROR(N(INDEX(Tracks!$G$2:$G$41,MATCH(A473,Tracks!$A$2:$A$41,0))),0))*P473/240))</f>
        <v/>
      </c>
      <c r="R473" s="9" t="str">
        <f aca="false">IF(Q473="","",INT(Q473)+1)</f>
        <v/>
      </c>
      <c r="S473" s="10" t="str">
        <f aca="false">IF(OR(Q473="",D473&lt;&gt;""),"",MIN(4.75,ROUND((Q473-INT(Q473))*16,0)/4+1))</f>
        <v/>
      </c>
      <c r="T473" s="11" t="str">
        <f aca="false">IF(OR(E473="",N(P473)&lt;=0),"",E473*P473/240)</f>
        <v/>
      </c>
      <c r="U473" s="9" t="str">
        <f aca="false">IF(Q473="","",IF(MIN(MOD(Q473,32),32-MOD(Q473,32))&lt;=0.25,32,IF(MIN(MOD(Q473,16),16-MOD(Q473,16))&lt;=0.25,16,IF(MIN(MOD(Q473,8),8-MOD(Q473,8))&lt;=0.25,8,""))))</f>
        <v/>
      </c>
      <c r="V473" s="9" t="str">
        <f aca="false">IF(OR(Q473="",T473=""),"",IF(MIN(MOD((Q473+T473),32),32-MOD((Q473+T473),32))&lt;=0.25,32,IF(MIN(MOD((Q473+T473),16),16-MOD((Q473+T473),16))&lt;=0.25,16,IF(MIN(MOD((Q473+T473),8),8-MOD((Q473+T473),8))&lt;=0.25,8,""))))</f>
        <v/>
      </c>
    </row>
    <row r="474" customFormat="false" ht="15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9" t="str">
        <f aca="false">IF(A474="","",IFERROR(INDEX(Tracks!$E$2:$E$41,MATCH(A474,Tracks!$A$2:$A$41,0)),"?"))</f>
        <v/>
      </c>
      <c r="P474" s="9" t="str">
        <f aca="false">IF(A474="","",IFERROR(N(INDEX(Tracks!$F$2:$F$41,MATCH(A474,Tracks!$A$2:$A$41,0))),""))</f>
        <v/>
      </c>
      <c r="Q474" s="10" t="str">
        <f aca="false">IF(D474&lt;&gt;"",D474-1,IF(OR(A474="",C474="",N(P474)&lt;=0),"",(N(B474)*60+C474-IFERROR(N(INDEX(Tracks!$G$2:$G$41,MATCH(A474,Tracks!$A$2:$A$41,0))),0))*P474/240))</f>
        <v/>
      </c>
      <c r="R474" s="9" t="str">
        <f aca="false">IF(Q474="","",INT(Q474)+1)</f>
        <v/>
      </c>
      <c r="S474" s="10" t="str">
        <f aca="false">IF(OR(Q474="",D474&lt;&gt;""),"",MIN(4.75,ROUND((Q474-INT(Q474))*16,0)/4+1))</f>
        <v/>
      </c>
      <c r="T474" s="11" t="str">
        <f aca="false">IF(OR(E474="",N(P474)&lt;=0),"",E474*P474/240)</f>
        <v/>
      </c>
      <c r="U474" s="9" t="str">
        <f aca="false">IF(Q474="","",IF(MIN(MOD(Q474,32),32-MOD(Q474,32))&lt;=0.25,32,IF(MIN(MOD(Q474,16),16-MOD(Q474,16))&lt;=0.25,16,IF(MIN(MOD(Q474,8),8-MOD(Q474,8))&lt;=0.25,8,""))))</f>
        <v/>
      </c>
      <c r="V474" s="9" t="str">
        <f aca="false">IF(OR(Q474="",T474=""),"",IF(MIN(MOD((Q474+T474),32),32-MOD((Q474+T474),32))&lt;=0.25,32,IF(MIN(MOD((Q474+T474),16),16-MOD((Q474+T474),16))&lt;=0.25,16,IF(MIN(MOD((Q474+T474),8),8-MOD((Q474+T474),8))&lt;=0.25,8,""))))</f>
        <v/>
      </c>
    </row>
    <row r="475" customFormat="false" ht="15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9" t="str">
        <f aca="false">IF(A475="","",IFERROR(INDEX(Tracks!$E$2:$E$41,MATCH(A475,Tracks!$A$2:$A$41,0)),"?"))</f>
        <v/>
      </c>
      <c r="P475" s="9" t="str">
        <f aca="false">IF(A475="","",IFERROR(N(INDEX(Tracks!$F$2:$F$41,MATCH(A475,Tracks!$A$2:$A$41,0))),""))</f>
        <v/>
      </c>
      <c r="Q475" s="10" t="str">
        <f aca="false">IF(D475&lt;&gt;"",D475-1,IF(OR(A475="",C475="",N(P475)&lt;=0),"",(N(B475)*60+C475-IFERROR(N(INDEX(Tracks!$G$2:$G$41,MATCH(A475,Tracks!$A$2:$A$41,0))),0))*P475/240))</f>
        <v/>
      </c>
      <c r="R475" s="9" t="str">
        <f aca="false">IF(Q475="","",INT(Q475)+1)</f>
        <v/>
      </c>
      <c r="S475" s="10" t="str">
        <f aca="false">IF(OR(Q475="",D475&lt;&gt;""),"",MIN(4.75,ROUND((Q475-INT(Q475))*16,0)/4+1))</f>
        <v/>
      </c>
      <c r="T475" s="11" t="str">
        <f aca="false">IF(OR(E475="",N(P475)&lt;=0),"",E475*P475/240)</f>
        <v/>
      </c>
      <c r="U475" s="9" t="str">
        <f aca="false">IF(Q475="","",IF(MIN(MOD(Q475,32),32-MOD(Q475,32))&lt;=0.25,32,IF(MIN(MOD(Q475,16),16-MOD(Q475,16))&lt;=0.25,16,IF(MIN(MOD(Q475,8),8-MOD(Q475,8))&lt;=0.25,8,""))))</f>
        <v/>
      </c>
      <c r="V475" s="9" t="str">
        <f aca="false">IF(OR(Q475="",T475=""),"",IF(MIN(MOD((Q475+T475),32),32-MOD((Q475+T475),32))&lt;=0.25,32,IF(MIN(MOD((Q475+T475),16),16-MOD((Q475+T475),16))&lt;=0.25,16,IF(MIN(MOD((Q475+T475),8),8-MOD((Q475+T475),8))&lt;=0.25,8,""))))</f>
        <v/>
      </c>
    </row>
    <row r="476" customFormat="false" ht="15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9" t="str">
        <f aca="false">IF(A476="","",IFERROR(INDEX(Tracks!$E$2:$E$41,MATCH(A476,Tracks!$A$2:$A$41,0)),"?"))</f>
        <v/>
      </c>
      <c r="P476" s="9" t="str">
        <f aca="false">IF(A476="","",IFERROR(N(INDEX(Tracks!$F$2:$F$41,MATCH(A476,Tracks!$A$2:$A$41,0))),""))</f>
        <v/>
      </c>
      <c r="Q476" s="10" t="str">
        <f aca="false">IF(D476&lt;&gt;"",D476-1,IF(OR(A476="",C476="",N(P476)&lt;=0),"",(N(B476)*60+C476-IFERROR(N(INDEX(Tracks!$G$2:$G$41,MATCH(A476,Tracks!$A$2:$A$41,0))),0))*P476/240))</f>
        <v/>
      </c>
      <c r="R476" s="9" t="str">
        <f aca="false">IF(Q476="","",INT(Q476)+1)</f>
        <v/>
      </c>
      <c r="S476" s="10" t="str">
        <f aca="false">IF(OR(Q476="",D476&lt;&gt;""),"",MIN(4.75,ROUND((Q476-INT(Q476))*16,0)/4+1))</f>
        <v/>
      </c>
      <c r="T476" s="11" t="str">
        <f aca="false">IF(OR(E476="",N(P476)&lt;=0),"",E476*P476/240)</f>
        <v/>
      </c>
      <c r="U476" s="9" t="str">
        <f aca="false">IF(Q476="","",IF(MIN(MOD(Q476,32),32-MOD(Q476,32))&lt;=0.25,32,IF(MIN(MOD(Q476,16),16-MOD(Q476,16))&lt;=0.25,16,IF(MIN(MOD(Q476,8),8-MOD(Q476,8))&lt;=0.25,8,""))))</f>
        <v/>
      </c>
      <c r="V476" s="9" t="str">
        <f aca="false">IF(OR(Q476="",T476=""),"",IF(MIN(MOD((Q476+T476),32),32-MOD((Q476+T476),32))&lt;=0.25,32,IF(MIN(MOD((Q476+T476),16),16-MOD((Q476+T476),16))&lt;=0.25,16,IF(MIN(MOD((Q476+T476),8),8-MOD((Q476+T476),8))&lt;=0.25,8,""))))</f>
        <v/>
      </c>
    </row>
    <row r="477" customFormat="false" ht="15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9" t="str">
        <f aca="false">IF(A477="","",IFERROR(INDEX(Tracks!$E$2:$E$41,MATCH(A477,Tracks!$A$2:$A$41,0)),"?"))</f>
        <v/>
      </c>
      <c r="P477" s="9" t="str">
        <f aca="false">IF(A477="","",IFERROR(N(INDEX(Tracks!$F$2:$F$41,MATCH(A477,Tracks!$A$2:$A$41,0))),""))</f>
        <v/>
      </c>
      <c r="Q477" s="10" t="str">
        <f aca="false">IF(D477&lt;&gt;"",D477-1,IF(OR(A477="",C477="",N(P477)&lt;=0),"",(N(B477)*60+C477-IFERROR(N(INDEX(Tracks!$G$2:$G$41,MATCH(A477,Tracks!$A$2:$A$41,0))),0))*P477/240))</f>
        <v/>
      </c>
      <c r="R477" s="9" t="str">
        <f aca="false">IF(Q477="","",INT(Q477)+1)</f>
        <v/>
      </c>
      <c r="S477" s="10" t="str">
        <f aca="false">IF(OR(Q477="",D477&lt;&gt;""),"",MIN(4.75,ROUND((Q477-INT(Q477))*16,0)/4+1))</f>
        <v/>
      </c>
      <c r="T477" s="11" t="str">
        <f aca="false">IF(OR(E477="",N(P477)&lt;=0),"",E477*P477/240)</f>
        <v/>
      </c>
      <c r="U477" s="9" t="str">
        <f aca="false">IF(Q477="","",IF(MIN(MOD(Q477,32),32-MOD(Q477,32))&lt;=0.25,32,IF(MIN(MOD(Q477,16),16-MOD(Q477,16))&lt;=0.25,16,IF(MIN(MOD(Q477,8),8-MOD(Q477,8))&lt;=0.25,8,""))))</f>
        <v/>
      </c>
      <c r="V477" s="9" t="str">
        <f aca="false">IF(OR(Q477="",T477=""),"",IF(MIN(MOD((Q477+T477),32),32-MOD((Q477+T477),32))&lt;=0.25,32,IF(MIN(MOD((Q477+T477),16),16-MOD((Q477+T477),16))&lt;=0.25,16,IF(MIN(MOD((Q477+T477),8),8-MOD((Q477+T477),8))&lt;=0.25,8,""))))</f>
        <v/>
      </c>
    </row>
    <row r="478" customFormat="false" ht="15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9" t="str">
        <f aca="false">IF(A478="","",IFERROR(INDEX(Tracks!$E$2:$E$41,MATCH(A478,Tracks!$A$2:$A$41,0)),"?"))</f>
        <v/>
      </c>
      <c r="P478" s="9" t="str">
        <f aca="false">IF(A478="","",IFERROR(N(INDEX(Tracks!$F$2:$F$41,MATCH(A478,Tracks!$A$2:$A$41,0))),""))</f>
        <v/>
      </c>
      <c r="Q478" s="10" t="str">
        <f aca="false">IF(D478&lt;&gt;"",D478-1,IF(OR(A478="",C478="",N(P478)&lt;=0),"",(N(B478)*60+C478-IFERROR(N(INDEX(Tracks!$G$2:$G$41,MATCH(A478,Tracks!$A$2:$A$41,0))),0))*P478/240))</f>
        <v/>
      </c>
      <c r="R478" s="9" t="str">
        <f aca="false">IF(Q478="","",INT(Q478)+1)</f>
        <v/>
      </c>
      <c r="S478" s="10" t="str">
        <f aca="false">IF(OR(Q478="",D478&lt;&gt;""),"",MIN(4.75,ROUND((Q478-INT(Q478))*16,0)/4+1))</f>
        <v/>
      </c>
      <c r="T478" s="11" t="str">
        <f aca="false">IF(OR(E478="",N(P478)&lt;=0),"",E478*P478/240)</f>
        <v/>
      </c>
      <c r="U478" s="9" t="str">
        <f aca="false">IF(Q478="","",IF(MIN(MOD(Q478,32),32-MOD(Q478,32))&lt;=0.25,32,IF(MIN(MOD(Q478,16),16-MOD(Q478,16))&lt;=0.25,16,IF(MIN(MOD(Q478,8),8-MOD(Q478,8))&lt;=0.25,8,""))))</f>
        <v/>
      </c>
      <c r="V478" s="9" t="str">
        <f aca="false">IF(OR(Q478="",T478=""),"",IF(MIN(MOD((Q478+T478),32),32-MOD((Q478+T478),32))&lt;=0.25,32,IF(MIN(MOD((Q478+T478),16),16-MOD((Q478+T478),16))&lt;=0.25,16,IF(MIN(MOD((Q478+T478),8),8-MOD((Q478+T478),8))&lt;=0.25,8,""))))</f>
        <v/>
      </c>
    </row>
    <row r="479" customFormat="false" ht="15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9" t="str">
        <f aca="false">IF(A479="","",IFERROR(INDEX(Tracks!$E$2:$E$41,MATCH(A479,Tracks!$A$2:$A$41,0)),"?"))</f>
        <v/>
      </c>
      <c r="P479" s="9" t="str">
        <f aca="false">IF(A479="","",IFERROR(N(INDEX(Tracks!$F$2:$F$41,MATCH(A479,Tracks!$A$2:$A$41,0))),""))</f>
        <v/>
      </c>
      <c r="Q479" s="10" t="str">
        <f aca="false">IF(D479&lt;&gt;"",D479-1,IF(OR(A479="",C479="",N(P479)&lt;=0),"",(N(B479)*60+C479-IFERROR(N(INDEX(Tracks!$G$2:$G$41,MATCH(A479,Tracks!$A$2:$A$41,0))),0))*P479/240))</f>
        <v/>
      </c>
      <c r="R479" s="9" t="str">
        <f aca="false">IF(Q479="","",INT(Q479)+1)</f>
        <v/>
      </c>
      <c r="S479" s="10" t="str">
        <f aca="false">IF(OR(Q479="",D479&lt;&gt;""),"",MIN(4.75,ROUND((Q479-INT(Q479))*16,0)/4+1))</f>
        <v/>
      </c>
      <c r="T479" s="11" t="str">
        <f aca="false">IF(OR(E479="",N(P479)&lt;=0),"",E479*P479/240)</f>
        <v/>
      </c>
      <c r="U479" s="9" t="str">
        <f aca="false">IF(Q479="","",IF(MIN(MOD(Q479,32),32-MOD(Q479,32))&lt;=0.25,32,IF(MIN(MOD(Q479,16),16-MOD(Q479,16))&lt;=0.25,16,IF(MIN(MOD(Q479,8),8-MOD(Q479,8))&lt;=0.25,8,""))))</f>
        <v/>
      </c>
      <c r="V479" s="9" t="str">
        <f aca="false">IF(OR(Q479="",T479=""),"",IF(MIN(MOD((Q479+T479),32),32-MOD((Q479+T479),32))&lt;=0.25,32,IF(MIN(MOD((Q479+T479),16),16-MOD((Q479+T479),16))&lt;=0.25,16,IF(MIN(MOD((Q479+T479),8),8-MOD((Q479+T479),8))&lt;=0.25,8,""))))</f>
        <v/>
      </c>
    </row>
    <row r="480" customFormat="false" ht="15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9" t="str">
        <f aca="false">IF(A480="","",IFERROR(INDEX(Tracks!$E$2:$E$41,MATCH(A480,Tracks!$A$2:$A$41,0)),"?"))</f>
        <v/>
      </c>
      <c r="P480" s="9" t="str">
        <f aca="false">IF(A480="","",IFERROR(N(INDEX(Tracks!$F$2:$F$41,MATCH(A480,Tracks!$A$2:$A$41,0))),""))</f>
        <v/>
      </c>
      <c r="Q480" s="10" t="str">
        <f aca="false">IF(D480&lt;&gt;"",D480-1,IF(OR(A480="",C480="",N(P480)&lt;=0),"",(N(B480)*60+C480-IFERROR(N(INDEX(Tracks!$G$2:$G$41,MATCH(A480,Tracks!$A$2:$A$41,0))),0))*P480/240))</f>
        <v/>
      </c>
      <c r="R480" s="9" t="str">
        <f aca="false">IF(Q480="","",INT(Q480)+1)</f>
        <v/>
      </c>
      <c r="S480" s="10" t="str">
        <f aca="false">IF(OR(Q480="",D480&lt;&gt;""),"",MIN(4.75,ROUND((Q480-INT(Q480))*16,0)/4+1))</f>
        <v/>
      </c>
      <c r="T480" s="11" t="str">
        <f aca="false">IF(OR(E480="",N(P480)&lt;=0),"",E480*P480/240)</f>
        <v/>
      </c>
      <c r="U480" s="9" t="str">
        <f aca="false">IF(Q480="","",IF(MIN(MOD(Q480,32),32-MOD(Q480,32))&lt;=0.25,32,IF(MIN(MOD(Q480,16),16-MOD(Q480,16))&lt;=0.25,16,IF(MIN(MOD(Q480,8),8-MOD(Q480,8))&lt;=0.25,8,""))))</f>
        <v/>
      </c>
      <c r="V480" s="9" t="str">
        <f aca="false">IF(OR(Q480="",T480=""),"",IF(MIN(MOD((Q480+T480),32),32-MOD((Q480+T480),32))&lt;=0.25,32,IF(MIN(MOD((Q480+T480),16),16-MOD((Q480+T480),16))&lt;=0.25,16,IF(MIN(MOD((Q480+T480),8),8-MOD((Q480+T480),8))&lt;=0.25,8,""))))</f>
        <v/>
      </c>
    </row>
    <row r="481" customFormat="false" ht="15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9" t="str">
        <f aca="false">IF(A481="","",IFERROR(INDEX(Tracks!$E$2:$E$41,MATCH(A481,Tracks!$A$2:$A$41,0)),"?"))</f>
        <v/>
      </c>
      <c r="P481" s="9" t="str">
        <f aca="false">IF(A481="","",IFERROR(N(INDEX(Tracks!$F$2:$F$41,MATCH(A481,Tracks!$A$2:$A$41,0))),""))</f>
        <v/>
      </c>
      <c r="Q481" s="10" t="str">
        <f aca="false">IF(D481&lt;&gt;"",D481-1,IF(OR(A481="",C481="",N(P481)&lt;=0),"",(N(B481)*60+C481-IFERROR(N(INDEX(Tracks!$G$2:$G$41,MATCH(A481,Tracks!$A$2:$A$41,0))),0))*P481/240))</f>
        <v/>
      </c>
      <c r="R481" s="9" t="str">
        <f aca="false">IF(Q481="","",INT(Q481)+1)</f>
        <v/>
      </c>
      <c r="S481" s="10" t="str">
        <f aca="false">IF(OR(Q481="",D481&lt;&gt;""),"",MIN(4.75,ROUND((Q481-INT(Q481))*16,0)/4+1))</f>
        <v/>
      </c>
      <c r="T481" s="11" t="str">
        <f aca="false">IF(OR(E481="",N(P481)&lt;=0),"",E481*P481/240)</f>
        <v/>
      </c>
      <c r="U481" s="9" t="str">
        <f aca="false">IF(Q481="","",IF(MIN(MOD(Q481,32),32-MOD(Q481,32))&lt;=0.25,32,IF(MIN(MOD(Q481,16),16-MOD(Q481,16))&lt;=0.25,16,IF(MIN(MOD(Q481,8),8-MOD(Q481,8))&lt;=0.25,8,""))))</f>
        <v/>
      </c>
      <c r="V481" s="9" t="str">
        <f aca="false">IF(OR(Q481="",T481=""),"",IF(MIN(MOD((Q481+T481),32),32-MOD((Q481+T481),32))&lt;=0.25,32,IF(MIN(MOD((Q481+T481),16),16-MOD((Q481+T481),16))&lt;=0.25,16,IF(MIN(MOD((Q481+T481),8),8-MOD((Q481+T481),8))&lt;=0.25,8,""))))</f>
        <v/>
      </c>
    </row>
    <row r="482" customFormat="false" ht="15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9" t="str">
        <f aca="false">IF(A482="","",IFERROR(INDEX(Tracks!$E$2:$E$41,MATCH(A482,Tracks!$A$2:$A$41,0)),"?"))</f>
        <v/>
      </c>
      <c r="P482" s="9" t="str">
        <f aca="false">IF(A482="","",IFERROR(N(INDEX(Tracks!$F$2:$F$41,MATCH(A482,Tracks!$A$2:$A$41,0))),""))</f>
        <v/>
      </c>
      <c r="Q482" s="10" t="str">
        <f aca="false">IF(D482&lt;&gt;"",D482-1,IF(OR(A482="",C482="",N(P482)&lt;=0),"",(N(B482)*60+C482-IFERROR(N(INDEX(Tracks!$G$2:$G$41,MATCH(A482,Tracks!$A$2:$A$41,0))),0))*P482/240))</f>
        <v/>
      </c>
      <c r="R482" s="9" t="str">
        <f aca="false">IF(Q482="","",INT(Q482)+1)</f>
        <v/>
      </c>
      <c r="S482" s="10" t="str">
        <f aca="false">IF(OR(Q482="",D482&lt;&gt;""),"",MIN(4.75,ROUND((Q482-INT(Q482))*16,0)/4+1))</f>
        <v/>
      </c>
      <c r="T482" s="11" t="str">
        <f aca="false">IF(OR(E482="",N(P482)&lt;=0),"",E482*P482/240)</f>
        <v/>
      </c>
      <c r="U482" s="9" t="str">
        <f aca="false">IF(Q482="","",IF(MIN(MOD(Q482,32),32-MOD(Q482,32))&lt;=0.25,32,IF(MIN(MOD(Q482,16),16-MOD(Q482,16))&lt;=0.25,16,IF(MIN(MOD(Q482,8),8-MOD(Q482,8))&lt;=0.25,8,""))))</f>
        <v/>
      </c>
      <c r="V482" s="9" t="str">
        <f aca="false">IF(OR(Q482="",T482=""),"",IF(MIN(MOD((Q482+T482),32),32-MOD((Q482+T482),32))&lt;=0.25,32,IF(MIN(MOD((Q482+T482),16),16-MOD((Q482+T482),16))&lt;=0.25,16,IF(MIN(MOD((Q482+T482),8),8-MOD((Q482+T482),8))&lt;=0.25,8,""))))</f>
        <v/>
      </c>
    </row>
    <row r="483" customFormat="false" ht="15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9" t="str">
        <f aca="false">IF(A483="","",IFERROR(INDEX(Tracks!$E$2:$E$41,MATCH(A483,Tracks!$A$2:$A$41,0)),"?"))</f>
        <v/>
      </c>
      <c r="P483" s="9" t="str">
        <f aca="false">IF(A483="","",IFERROR(N(INDEX(Tracks!$F$2:$F$41,MATCH(A483,Tracks!$A$2:$A$41,0))),""))</f>
        <v/>
      </c>
      <c r="Q483" s="10" t="str">
        <f aca="false">IF(D483&lt;&gt;"",D483-1,IF(OR(A483="",C483="",N(P483)&lt;=0),"",(N(B483)*60+C483-IFERROR(N(INDEX(Tracks!$G$2:$G$41,MATCH(A483,Tracks!$A$2:$A$41,0))),0))*P483/240))</f>
        <v/>
      </c>
      <c r="R483" s="9" t="str">
        <f aca="false">IF(Q483="","",INT(Q483)+1)</f>
        <v/>
      </c>
      <c r="S483" s="10" t="str">
        <f aca="false">IF(OR(Q483="",D483&lt;&gt;""),"",MIN(4.75,ROUND((Q483-INT(Q483))*16,0)/4+1))</f>
        <v/>
      </c>
      <c r="T483" s="11" t="str">
        <f aca="false">IF(OR(E483="",N(P483)&lt;=0),"",E483*P483/240)</f>
        <v/>
      </c>
      <c r="U483" s="9" t="str">
        <f aca="false">IF(Q483="","",IF(MIN(MOD(Q483,32),32-MOD(Q483,32))&lt;=0.25,32,IF(MIN(MOD(Q483,16),16-MOD(Q483,16))&lt;=0.25,16,IF(MIN(MOD(Q483,8),8-MOD(Q483,8))&lt;=0.25,8,""))))</f>
        <v/>
      </c>
      <c r="V483" s="9" t="str">
        <f aca="false">IF(OR(Q483="",T483=""),"",IF(MIN(MOD((Q483+T483),32),32-MOD((Q483+T483),32))&lt;=0.25,32,IF(MIN(MOD((Q483+T483),16),16-MOD((Q483+T483),16))&lt;=0.25,16,IF(MIN(MOD((Q483+T483),8),8-MOD((Q483+T483),8))&lt;=0.25,8,""))))</f>
        <v/>
      </c>
    </row>
    <row r="484" customFormat="false" ht="15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9" t="str">
        <f aca="false">IF(A484="","",IFERROR(INDEX(Tracks!$E$2:$E$41,MATCH(A484,Tracks!$A$2:$A$41,0)),"?"))</f>
        <v/>
      </c>
      <c r="P484" s="9" t="str">
        <f aca="false">IF(A484="","",IFERROR(N(INDEX(Tracks!$F$2:$F$41,MATCH(A484,Tracks!$A$2:$A$41,0))),""))</f>
        <v/>
      </c>
      <c r="Q484" s="10" t="str">
        <f aca="false">IF(D484&lt;&gt;"",D484-1,IF(OR(A484="",C484="",N(P484)&lt;=0),"",(N(B484)*60+C484-IFERROR(N(INDEX(Tracks!$G$2:$G$41,MATCH(A484,Tracks!$A$2:$A$41,0))),0))*P484/240))</f>
        <v/>
      </c>
      <c r="R484" s="9" t="str">
        <f aca="false">IF(Q484="","",INT(Q484)+1)</f>
        <v/>
      </c>
      <c r="S484" s="10" t="str">
        <f aca="false">IF(OR(Q484="",D484&lt;&gt;""),"",MIN(4.75,ROUND((Q484-INT(Q484))*16,0)/4+1))</f>
        <v/>
      </c>
      <c r="T484" s="11" t="str">
        <f aca="false">IF(OR(E484="",N(P484)&lt;=0),"",E484*P484/240)</f>
        <v/>
      </c>
      <c r="U484" s="9" t="str">
        <f aca="false">IF(Q484="","",IF(MIN(MOD(Q484,32),32-MOD(Q484,32))&lt;=0.25,32,IF(MIN(MOD(Q484,16),16-MOD(Q484,16))&lt;=0.25,16,IF(MIN(MOD(Q484,8),8-MOD(Q484,8))&lt;=0.25,8,""))))</f>
        <v/>
      </c>
      <c r="V484" s="9" t="str">
        <f aca="false">IF(OR(Q484="",T484=""),"",IF(MIN(MOD((Q484+T484),32),32-MOD((Q484+T484),32))&lt;=0.25,32,IF(MIN(MOD((Q484+T484),16),16-MOD((Q484+T484),16))&lt;=0.25,16,IF(MIN(MOD((Q484+T484),8),8-MOD((Q484+T484),8))&lt;=0.25,8,""))))</f>
        <v/>
      </c>
    </row>
    <row r="485" customFormat="false" ht="15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9" t="str">
        <f aca="false">IF(A485="","",IFERROR(INDEX(Tracks!$E$2:$E$41,MATCH(A485,Tracks!$A$2:$A$41,0)),"?"))</f>
        <v/>
      </c>
      <c r="P485" s="9" t="str">
        <f aca="false">IF(A485="","",IFERROR(N(INDEX(Tracks!$F$2:$F$41,MATCH(A485,Tracks!$A$2:$A$41,0))),""))</f>
        <v/>
      </c>
      <c r="Q485" s="10" t="str">
        <f aca="false">IF(D485&lt;&gt;"",D485-1,IF(OR(A485="",C485="",N(P485)&lt;=0),"",(N(B485)*60+C485-IFERROR(N(INDEX(Tracks!$G$2:$G$41,MATCH(A485,Tracks!$A$2:$A$41,0))),0))*P485/240))</f>
        <v/>
      </c>
      <c r="R485" s="9" t="str">
        <f aca="false">IF(Q485="","",INT(Q485)+1)</f>
        <v/>
      </c>
      <c r="S485" s="10" t="str">
        <f aca="false">IF(OR(Q485="",D485&lt;&gt;""),"",MIN(4.75,ROUND((Q485-INT(Q485))*16,0)/4+1))</f>
        <v/>
      </c>
      <c r="T485" s="11" t="str">
        <f aca="false">IF(OR(E485="",N(P485)&lt;=0),"",E485*P485/240)</f>
        <v/>
      </c>
      <c r="U485" s="9" t="str">
        <f aca="false">IF(Q485="","",IF(MIN(MOD(Q485,32),32-MOD(Q485,32))&lt;=0.25,32,IF(MIN(MOD(Q485,16),16-MOD(Q485,16))&lt;=0.25,16,IF(MIN(MOD(Q485,8),8-MOD(Q485,8))&lt;=0.25,8,""))))</f>
        <v/>
      </c>
      <c r="V485" s="9" t="str">
        <f aca="false">IF(OR(Q485="",T485=""),"",IF(MIN(MOD((Q485+T485),32),32-MOD((Q485+T485),32))&lt;=0.25,32,IF(MIN(MOD((Q485+T485),16),16-MOD((Q485+T485),16))&lt;=0.25,16,IF(MIN(MOD((Q485+T485),8),8-MOD((Q485+T485),8))&lt;=0.25,8,""))))</f>
        <v/>
      </c>
    </row>
    <row r="486" customFormat="false" ht="15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9" t="str">
        <f aca="false">IF(A486="","",IFERROR(INDEX(Tracks!$E$2:$E$41,MATCH(A486,Tracks!$A$2:$A$41,0)),"?"))</f>
        <v/>
      </c>
      <c r="P486" s="9" t="str">
        <f aca="false">IF(A486="","",IFERROR(N(INDEX(Tracks!$F$2:$F$41,MATCH(A486,Tracks!$A$2:$A$41,0))),""))</f>
        <v/>
      </c>
      <c r="Q486" s="10" t="str">
        <f aca="false">IF(D486&lt;&gt;"",D486-1,IF(OR(A486="",C486="",N(P486)&lt;=0),"",(N(B486)*60+C486-IFERROR(N(INDEX(Tracks!$G$2:$G$41,MATCH(A486,Tracks!$A$2:$A$41,0))),0))*P486/240))</f>
        <v/>
      </c>
      <c r="R486" s="9" t="str">
        <f aca="false">IF(Q486="","",INT(Q486)+1)</f>
        <v/>
      </c>
      <c r="S486" s="10" t="str">
        <f aca="false">IF(OR(Q486="",D486&lt;&gt;""),"",MIN(4.75,ROUND((Q486-INT(Q486))*16,0)/4+1))</f>
        <v/>
      </c>
      <c r="T486" s="11" t="str">
        <f aca="false">IF(OR(E486="",N(P486)&lt;=0),"",E486*P486/240)</f>
        <v/>
      </c>
      <c r="U486" s="9" t="str">
        <f aca="false">IF(Q486="","",IF(MIN(MOD(Q486,32),32-MOD(Q486,32))&lt;=0.25,32,IF(MIN(MOD(Q486,16),16-MOD(Q486,16))&lt;=0.25,16,IF(MIN(MOD(Q486,8),8-MOD(Q486,8))&lt;=0.25,8,""))))</f>
        <v/>
      </c>
      <c r="V486" s="9" t="str">
        <f aca="false">IF(OR(Q486="",T486=""),"",IF(MIN(MOD((Q486+T486),32),32-MOD((Q486+T486),32))&lt;=0.25,32,IF(MIN(MOD((Q486+T486),16),16-MOD((Q486+T486),16))&lt;=0.25,16,IF(MIN(MOD((Q486+T486),8),8-MOD((Q486+T486),8))&lt;=0.25,8,""))))</f>
        <v/>
      </c>
    </row>
    <row r="487" customFormat="false" ht="15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9" t="str">
        <f aca="false">IF(A487="","",IFERROR(INDEX(Tracks!$E$2:$E$41,MATCH(A487,Tracks!$A$2:$A$41,0)),"?"))</f>
        <v/>
      </c>
      <c r="P487" s="9" t="str">
        <f aca="false">IF(A487="","",IFERROR(N(INDEX(Tracks!$F$2:$F$41,MATCH(A487,Tracks!$A$2:$A$41,0))),""))</f>
        <v/>
      </c>
      <c r="Q487" s="10" t="str">
        <f aca="false">IF(D487&lt;&gt;"",D487-1,IF(OR(A487="",C487="",N(P487)&lt;=0),"",(N(B487)*60+C487-IFERROR(N(INDEX(Tracks!$G$2:$G$41,MATCH(A487,Tracks!$A$2:$A$41,0))),0))*P487/240))</f>
        <v/>
      </c>
      <c r="R487" s="9" t="str">
        <f aca="false">IF(Q487="","",INT(Q487)+1)</f>
        <v/>
      </c>
      <c r="S487" s="10" t="str">
        <f aca="false">IF(OR(Q487="",D487&lt;&gt;""),"",MIN(4.75,ROUND((Q487-INT(Q487))*16,0)/4+1))</f>
        <v/>
      </c>
      <c r="T487" s="11" t="str">
        <f aca="false">IF(OR(E487="",N(P487)&lt;=0),"",E487*P487/240)</f>
        <v/>
      </c>
      <c r="U487" s="9" t="str">
        <f aca="false">IF(Q487="","",IF(MIN(MOD(Q487,32),32-MOD(Q487,32))&lt;=0.25,32,IF(MIN(MOD(Q487,16),16-MOD(Q487,16))&lt;=0.25,16,IF(MIN(MOD(Q487,8),8-MOD(Q487,8))&lt;=0.25,8,""))))</f>
        <v/>
      </c>
      <c r="V487" s="9" t="str">
        <f aca="false">IF(OR(Q487="",T487=""),"",IF(MIN(MOD((Q487+T487),32),32-MOD((Q487+T487),32))&lt;=0.25,32,IF(MIN(MOD((Q487+T487),16),16-MOD((Q487+T487),16))&lt;=0.25,16,IF(MIN(MOD((Q487+T487),8),8-MOD((Q487+T487),8))&lt;=0.25,8,""))))</f>
        <v/>
      </c>
    </row>
    <row r="488" customFormat="false" ht="15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9" t="str">
        <f aca="false">IF(A488="","",IFERROR(INDEX(Tracks!$E$2:$E$41,MATCH(A488,Tracks!$A$2:$A$41,0)),"?"))</f>
        <v/>
      </c>
      <c r="P488" s="9" t="str">
        <f aca="false">IF(A488="","",IFERROR(N(INDEX(Tracks!$F$2:$F$41,MATCH(A488,Tracks!$A$2:$A$41,0))),""))</f>
        <v/>
      </c>
      <c r="Q488" s="10" t="str">
        <f aca="false">IF(D488&lt;&gt;"",D488-1,IF(OR(A488="",C488="",N(P488)&lt;=0),"",(N(B488)*60+C488-IFERROR(N(INDEX(Tracks!$G$2:$G$41,MATCH(A488,Tracks!$A$2:$A$41,0))),0))*P488/240))</f>
        <v/>
      </c>
      <c r="R488" s="9" t="str">
        <f aca="false">IF(Q488="","",INT(Q488)+1)</f>
        <v/>
      </c>
      <c r="S488" s="10" t="str">
        <f aca="false">IF(OR(Q488="",D488&lt;&gt;""),"",MIN(4.75,ROUND((Q488-INT(Q488))*16,0)/4+1))</f>
        <v/>
      </c>
      <c r="T488" s="11" t="str">
        <f aca="false">IF(OR(E488="",N(P488)&lt;=0),"",E488*P488/240)</f>
        <v/>
      </c>
      <c r="U488" s="9" t="str">
        <f aca="false">IF(Q488="","",IF(MIN(MOD(Q488,32),32-MOD(Q488,32))&lt;=0.25,32,IF(MIN(MOD(Q488,16),16-MOD(Q488,16))&lt;=0.25,16,IF(MIN(MOD(Q488,8),8-MOD(Q488,8))&lt;=0.25,8,""))))</f>
        <v/>
      </c>
      <c r="V488" s="9" t="str">
        <f aca="false">IF(OR(Q488="",T488=""),"",IF(MIN(MOD((Q488+T488),32),32-MOD((Q488+T488),32))&lt;=0.25,32,IF(MIN(MOD((Q488+T488),16),16-MOD((Q488+T488),16))&lt;=0.25,16,IF(MIN(MOD((Q488+T488),8),8-MOD((Q488+T488),8))&lt;=0.25,8,""))))</f>
        <v/>
      </c>
    </row>
    <row r="489" customFormat="false" ht="15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9" t="str">
        <f aca="false">IF(A489="","",IFERROR(INDEX(Tracks!$E$2:$E$41,MATCH(A489,Tracks!$A$2:$A$41,0)),"?"))</f>
        <v/>
      </c>
      <c r="P489" s="9" t="str">
        <f aca="false">IF(A489="","",IFERROR(N(INDEX(Tracks!$F$2:$F$41,MATCH(A489,Tracks!$A$2:$A$41,0))),""))</f>
        <v/>
      </c>
      <c r="Q489" s="10" t="str">
        <f aca="false">IF(D489&lt;&gt;"",D489-1,IF(OR(A489="",C489="",N(P489)&lt;=0),"",(N(B489)*60+C489-IFERROR(N(INDEX(Tracks!$G$2:$G$41,MATCH(A489,Tracks!$A$2:$A$41,0))),0))*P489/240))</f>
        <v/>
      </c>
      <c r="R489" s="9" t="str">
        <f aca="false">IF(Q489="","",INT(Q489)+1)</f>
        <v/>
      </c>
      <c r="S489" s="10" t="str">
        <f aca="false">IF(OR(Q489="",D489&lt;&gt;""),"",MIN(4.75,ROUND((Q489-INT(Q489))*16,0)/4+1))</f>
        <v/>
      </c>
      <c r="T489" s="11" t="str">
        <f aca="false">IF(OR(E489="",N(P489)&lt;=0),"",E489*P489/240)</f>
        <v/>
      </c>
      <c r="U489" s="9" t="str">
        <f aca="false">IF(Q489="","",IF(MIN(MOD(Q489,32),32-MOD(Q489,32))&lt;=0.25,32,IF(MIN(MOD(Q489,16),16-MOD(Q489,16))&lt;=0.25,16,IF(MIN(MOD(Q489,8),8-MOD(Q489,8))&lt;=0.25,8,""))))</f>
        <v/>
      </c>
      <c r="V489" s="9" t="str">
        <f aca="false">IF(OR(Q489="",T489=""),"",IF(MIN(MOD((Q489+T489),32),32-MOD((Q489+T489),32))&lt;=0.25,32,IF(MIN(MOD((Q489+T489),16),16-MOD((Q489+T489),16))&lt;=0.25,16,IF(MIN(MOD((Q489+T489),8),8-MOD((Q489+T489),8))&lt;=0.25,8,""))))</f>
        <v/>
      </c>
    </row>
    <row r="490" customFormat="false" ht="15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9" t="str">
        <f aca="false">IF(A490="","",IFERROR(INDEX(Tracks!$E$2:$E$41,MATCH(A490,Tracks!$A$2:$A$41,0)),"?"))</f>
        <v/>
      </c>
      <c r="P490" s="9" t="str">
        <f aca="false">IF(A490="","",IFERROR(N(INDEX(Tracks!$F$2:$F$41,MATCH(A490,Tracks!$A$2:$A$41,0))),""))</f>
        <v/>
      </c>
      <c r="Q490" s="10" t="str">
        <f aca="false">IF(D490&lt;&gt;"",D490-1,IF(OR(A490="",C490="",N(P490)&lt;=0),"",(N(B490)*60+C490-IFERROR(N(INDEX(Tracks!$G$2:$G$41,MATCH(A490,Tracks!$A$2:$A$41,0))),0))*P490/240))</f>
        <v/>
      </c>
      <c r="R490" s="9" t="str">
        <f aca="false">IF(Q490="","",INT(Q490)+1)</f>
        <v/>
      </c>
      <c r="S490" s="10" t="str">
        <f aca="false">IF(OR(Q490="",D490&lt;&gt;""),"",MIN(4.75,ROUND((Q490-INT(Q490))*16,0)/4+1))</f>
        <v/>
      </c>
      <c r="T490" s="11" t="str">
        <f aca="false">IF(OR(E490="",N(P490)&lt;=0),"",E490*P490/240)</f>
        <v/>
      </c>
      <c r="U490" s="9" t="str">
        <f aca="false">IF(Q490="","",IF(MIN(MOD(Q490,32),32-MOD(Q490,32))&lt;=0.25,32,IF(MIN(MOD(Q490,16),16-MOD(Q490,16))&lt;=0.25,16,IF(MIN(MOD(Q490,8),8-MOD(Q490,8))&lt;=0.25,8,""))))</f>
        <v/>
      </c>
      <c r="V490" s="9" t="str">
        <f aca="false">IF(OR(Q490="",T490=""),"",IF(MIN(MOD((Q490+T490),32),32-MOD((Q490+T490),32))&lt;=0.25,32,IF(MIN(MOD((Q490+T490),16),16-MOD((Q490+T490),16))&lt;=0.25,16,IF(MIN(MOD((Q490+T490),8),8-MOD((Q490+T490),8))&lt;=0.25,8,""))))</f>
        <v/>
      </c>
    </row>
    <row r="491" customFormat="false" ht="15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9" t="str">
        <f aca="false">IF(A491="","",IFERROR(INDEX(Tracks!$E$2:$E$41,MATCH(A491,Tracks!$A$2:$A$41,0)),"?"))</f>
        <v/>
      </c>
      <c r="P491" s="9" t="str">
        <f aca="false">IF(A491="","",IFERROR(N(INDEX(Tracks!$F$2:$F$41,MATCH(A491,Tracks!$A$2:$A$41,0))),""))</f>
        <v/>
      </c>
      <c r="Q491" s="10" t="str">
        <f aca="false">IF(D491&lt;&gt;"",D491-1,IF(OR(A491="",C491="",N(P491)&lt;=0),"",(N(B491)*60+C491-IFERROR(N(INDEX(Tracks!$G$2:$G$41,MATCH(A491,Tracks!$A$2:$A$41,0))),0))*P491/240))</f>
        <v/>
      </c>
      <c r="R491" s="9" t="str">
        <f aca="false">IF(Q491="","",INT(Q491)+1)</f>
        <v/>
      </c>
      <c r="S491" s="10" t="str">
        <f aca="false">IF(OR(Q491="",D491&lt;&gt;""),"",MIN(4.75,ROUND((Q491-INT(Q491))*16,0)/4+1))</f>
        <v/>
      </c>
      <c r="T491" s="11" t="str">
        <f aca="false">IF(OR(E491="",N(P491)&lt;=0),"",E491*P491/240)</f>
        <v/>
      </c>
      <c r="U491" s="9" t="str">
        <f aca="false">IF(Q491="","",IF(MIN(MOD(Q491,32),32-MOD(Q491,32))&lt;=0.25,32,IF(MIN(MOD(Q491,16),16-MOD(Q491,16))&lt;=0.25,16,IF(MIN(MOD(Q491,8),8-MOD(Q491,8))&lt;=0.25,8,""))))</f>
        <v/>
      </c>
      <c r="V491" s="9" t="str">
        <f aca="false">IF(OR(Q491="",T491=""),"",IF(MIN(MOD((Q491+T491),32),32-MOD((Q491+T491),32))&lt;=0.25,32,IF(MIN(MOD((Q491+T491),16),16-MOD((Q491+T491),16))&lt;=0.25,16,IF(MIN(MOD((Q491+T491),8),8-MOD((Q491+T491),8))&lt;=0.25,8,""))))</f>
        <v/>
      </c>
    </row>
    <row r="492" customFormat="false" ht="15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9" t="str">
        <f aca="false">IF(A492="","",IFERROR(INDEX(Tracks!$E$2:$E$41,MATCH(A492,Tracks!$A$2:$A$41,0)),"?"))</f>
        <v/>
      </c>
      <c r="P492" s="9" t="str">
        <f aca="false">IF(A492="","",IFERROR(N(INDEX(Tracks!$F$2:$F$41,MATCH(A492,Tracks!$A$2:$A$41,0))),""))</f>
        <v/>
      </c>
      <c r="Q492" s="10" t="str">
        <f aca="false">IF(D492&lt;&gt;"",D492-1,IF(OR(A492="",C492="",N(P492)&lt;=0),"",(N(B492)*60+C492-IFERROR(N(INDEX(Tracks!$G$2:$G$41,MATCH(A492,Tracks!$A$2:$A$41,0))),0))*P492/240))</f>
        <v/>
      </c>
      <c r="R492" s="9" t="str">
        <f aca="false">IF(Q492="","",INT(Q492)+1)</f>
        <v/>
      </c>
      <c r="S492" s="10" t="str">
        <f aca="false">IF(OR(Q492="",D492&lt;&gt;""),"",MIN(4.75,ROUND((Q492-INT(Q492))*16,0)/4+1))</f>
        <v/>
      </c>
      <c r="T492" s="11" t="str">
        <f aca="false">IF(OR(E492="",N(P492)&lt;=0),"",E492*P492/240)</f>
        <v/>
      </c>
      <c r="U492" s="9" t="str">
        <f aca="false">IF(Q492="","",IF(MIN(MOD(Q492,32),32-MOD(Q492,32))&lt;=0.25,32,IF(MIN(MOD(Q492,16),16-MOD(Q492,16))&lt;=0.25,16,IF(MIN(MOD(Q492,8),8-MOD(Q492,8))&lt;=0.25,8,""))))</f>
        <v/>
      </c>
      <c r="V492" s="9" t="str">
        <f aca="false">IF(OR(Q492="",T492=""),"",IF(MIN(MOD((Q492+T492),32),32-MOD((Q492+T492),32))&lt;=0.25,32,IF(MIN(MOD((Q492+T492),16),16-MOD((Q492+T492),16))&lt;=0.25,16,IF(MIN(MOD((Q492+T492),8),8-MOD((Q492+T492),8))&lt;=0.25,8,""))))</f>
        <v/>
      </c>
    </row>
    <row r="493" customFormat="false" ht="15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9" t="str">
        <f aca="false">IF(A493="","",IFERROR(INDEX(Tracks!$E$2:$E$41,MATCH(A493,Tracks!$A$2:$A$41,0)),"?"))</f>
        <v/>
      </c>
      <c r="P493" s="9" t="str">
        <f aca="false">IF(A493="","",IFERROR(N(INDEX(Tracks!$F$2:$F$41,MATCH(A493,Tracks!$A$2:$A$41,0))),""))</f>
        <v/>
      </c>
      <c r="Q493" s="10" t="str">
        <f aca="false">IF(D493&lt;&gt;"",D493-1,IF(OR(A493="",C493="",N(P493)&lt;=0),"",(N(B493)*60+C493-IFERROR(N(INDEX(Tracks!$G$2:$G$41,MATCH(A493,Tracks!$A$2:$A$41,0))),0))*P493/240))</f>
        <v/>
      </c>
      <c r="R493" s="9" t="str">
        <f aca="false">IF(Q493="","",INT(Q493)+1)</f>
        <v/>
      </c>
      <c r="S493" s="10" t="str">
        <f aca="false">IF(OR(Q493="",D493&lt;&gt;""),"",MIN(4.75,ROUND((Q493-INT(Q493))*16,0)/4+1))</f>
        <v/>
      </c>
      <c r="T493" s="11" t="str">
        <f aca="false">IF(OR(E493="",N(P493)&lt;=0),"",E493*P493/240)</f>
        <v/>
      </c>
      <c r="U493" s="9" t="str">
        <f aca="false">IF(Q493="","",IF(MIN(MOD(Q493,32),32-MOD(Q493,32))&lt;=0.25,32,IF(MIN(MOD(Q493,16),16-MOD(Q493,16))&lt;=0.25,16,IF(MIN(MOD(Q493,8),8-MOD(Q493,8))&lt;=0.25,8,""))))</f>
        <v/>
      </c>
      <c r="V493" s="9" t="str">
        <f aca="false">IF(OR(Q493="",T493=""),"",IF(MIN(MOD((Q493+T493),32),32-MOD((Q493+T493),32))&lt;=0.25,32,IF(MIN(MOD((Q493+T493),16),16-MOD((Q493+T493),16))&lt;=0.25,16,IF(MIN(MOD((Q493+T493),8),8-MOD((Q493+T493),8))&lt;=0.25,8,""))))</f>
        <v/>
      </c>
    </row>
    <row r="494" customFormat="false" ht="15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9" t="str">
        <f aca="false">IF(A494="","",IFERROR(INDEX(Tracks!$E$2:$E$41,MATCH(A494,Tracks!$A$2:$A$41,0)),"?"))</f>
        <v/>
      </c>
      <c r="P494" s="9" t="str">
        <f aca="false">IF(A494="","",IFERROR(N(INDEX(Tracks!$F$2:$F$41,MATCH(A494,Tracks!$A$2:$A$41,0))),""))</f>
        <v/>
      </c>
      <c r="Q494" s="10" t="str">
        <f aca="false">IF(D494&lt;&gt;"",D494-1,IF(OR(A494="",C494="",N(P494)&lt;=0),"",(N(B494)*60+C494-IFERROR(N(INDEX(Tracks!$G$2:$G$41,MATCH(A494,Tracks!$A$2:$A$41,0))),0))*P494/240))</f>
        <v/>
      </c>
      <c r="R494" s="9" t="str">
        <f aca="false">IF(Q494="","",INT(Q494)+1)</f>
        <v/>
      </c>
      <c r="S494" s="10" t="str">
        <f aca="false">IF(OR(Q494="",D494&lt;&gt;""),"",MIN(4.75,ROUND((Q494-INT(Q494))*16,0)/4+1))</f>
        <v/>
      </c>
      <c r="T494" s="11" t="str">
        <f aca="false">IF(OR(E494="",N(P494)&lt;=0),"",E494*P494/240)</f>
        <v/>
      </c>
      <c r="U494" s="9" t="str">
        <f aca="false">IF(Q494="","",IF(MIN(MOD(Q494,32),32-MOD(Q494,32))&lt;=0.25,32,IF(MIN(MOD(Q494,16),16-MOD(Q494,16))&lt;=0.25,16,IF(MIN(MOD(Q494,8),8-MOD(Q494,8))&lt;=0.25,8,""))))</f>
        <v/>
      </c>
      <c r="V494" s="9" t="str">
        <f aca="false">IF(OR(Q494="",T494=""),"",IF(MIN(MOD((Q494+T494),32),32-MOD((Q494+T494),32))&lt;=0.25,32,IF(MIN(MOD((Q494+T494),16),16-MOD((Q494+T494),16))&lt;=0.25,16,IF(MIN(MOD((Q494+T494),8),8-MOD((Q494+T494),8))&lt;=0.25,8,""))))</f>
        <v/>
      </c>
    </row>
    <row r="495" customFormat="false" ht="15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9" t="str">
        <f aca="false">IF(A495="","",IFERROR(INDEX(Tracks!$E$2:$E$41,MATCH(A495,Tracks!$A$2:$A$41,0)),"?"))</f>
        <v/>
      </c>
      <c r="P495" s="9" t="str">
        <f aca="false">IF(A495="","",IFERROR(N(INDEX(Tracks!$F$2:$F$41,MATCH(A495,Tracks!$A$2:$A$41,0))),""))</f>
        <v/>
      </c>
      <c r="Q495" s="10" t="str">
        <f aca="false">IF(D495&lt;&gt;"",D495-1,IF(OR(A495="",C495="",N(P495)&lt;=0),"",(N(B495)*60+C495-IFERROR(N(INDEX(Tracks!$G$2:$G$41,MATCH(A495,Tracks!$A$2:$A$41,0))),0))*P495/240))</f>
        <v/>
      </c>
      <c r="R495" s="9" t="str">
        <f aca="false">IF(Q495="","",INT(Q495)+1)</f>
        <v/>
      </c>
      <c r="S495" s="10" t="str">
        <f aca="false">IF(OR(Q495="",D495&lt;&gt;""),"",MIN(4.75,ROUND((Q495-INT(Q495))*16,0)/4+1))</f>
        <v/>
      </c>
      <c r="T495" s="11" t="str">
        <f aca="false">IF(OR(E495="",N(P495)&lt;=0),"",E495*P495/240)</f>
        <v/>
      </c>
      <c r="U495" s="9" t="str">
        <f aca="false">IF(Q495="","",IF(MIN(MOD(Q495,32),32-MOD(Q495,32))&lt;=0.25,32,IF(MIN(MOD(Q495,16),16-MOD(Q495,16))&lt;=0.25,16,IF(MIN(MOD(Q495,8),8-MOD(Q495,8))&lt;=0.25,8,""))))</f>
        <v/>
      </c>
      <c r="V495" s="9" t="str">
        <f aca="false">IF(OR(Q495="",T495=""),"",IF(MIN(MOD((Q495+T495),32),32-MOD((Q495+T495),32))&lt;=0.25,32,IF(MIN(MOD((Q495+T495),16),16-MOD((Q495+T495),16))&lt;=0.25,16,IF(MIN(MOD((Q495+T495),8),8-MOD((Q495+T495),8))&lt;=0.25,8,""))))</f>
        <v/>
      </c>
    </row>
    <row r="496" customFormat="false" ht="15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9" t="str">
        <f aca="false">IF(A496="","",IFERROR(INDEX(Tracks!$E$2:$E$41,MATCH(A496,Tracks!$A$2:$A$41,0)),"?"))</f>
        <v/>
      </c>
      <c r="P496" s="9" t="str">
        <f aca="false">IF(A496="","",IFERROR(N(INDEX(Tracks!$F$2:$F$41,MATCH(A496,Tracks!$A$2:$A$41,0))),""))</f>
        <v/>
      </c>
      <c r="Q496" s="10" t="str">
        <f aca="false">IF(D496&lt;&gt;"",D496-1,IF(OR(A496="",C496="",N(P496)&lt;=0),"",(N(B496)*60+C496-IFERROR(N(INDEX(Tracks!$G$2:$G$41,MATCH(A496,Tracks!$A$2:$A$41,0))),0))*P496/240))</f>
        <v/>
      </c>
      <c r="R496" s="9" t="str">
        <f aca="false">IF(Q496="","",INT(Q496)+1)</f>
        <v/>
      </c>
      <c r="S496" s="10" t="str">
        <f aca="false">IF(OR(Q496="",D496&lt;&gt;""),"",MIN(4.75,ROUND((Q496-INT(Q496))*16,0)/4+1))</f>
        <v/>
      </c>
      <c r="T496" s="11" t="str">
        <f aca="false">IF(OR(E496="",N(P496)&lt;=0),"",E496*P496/240)</f>
        <v/>
      </c>
      <c r="U496" s="9" t="str">
        <f aca="false">IF(Q496="","",IF(MIN(MOD(Q496,32),32-MOD(Q496,32))&lt;=0.25,32,IF(MIN(MOD(Q496,16),16-MOD(Q496,16))&lt;=0.25,16,IF(MIN(MOD(Q496,8),8-MOD(Q496,8))&lt;=0.25,8,""))))</f>
        <v/>
      </c>
      <c r="V496" s="9" t="str">
        <f aca="false">IF(OR(Q496="",T496=""),"",IF(MIN(MOD((Q496+T496),32),32-MOD((Q496+T496),32))&lt;=0.25,32,IF(MIN(MOD((Q496+T496),16),16-MOD((Q496+T496),16))&lt;=0.25,16,IF(MIN(MOD((Q496+T496),8),8-MOD((Q496+T496),8))&lt;=0.25,8,""))))</f>
        <v/>
      </c>
    </row>
    <row r="497" customFormat="false" ht="15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9" t="str">
        <f aca="false">IF(A497="","",IFERROR(INDEX(Tracks!$E$2:$E$41,MATCH(A497,Tracks!$A$2:$A$41,0)),"?"))</f>
        <v/>
      </c>
      <c r="P497" s="9" t="str">
        <f aca="false">IF(A497="","",IFERROR(N(INDEX(Tracks!$F$2:$F$41,MATCH(A497,Tracks!$A$2:$A$41,0))),""))</f>
        <v/>
      </c>
      <c r="Q497" s="10" t="str">
        <f aca="false">IF(D497&lt;&gt;"",D497-1,IF(OR(A497="",C497="",N(P497)&lt;=0),"",(N(B497)*60+C497-IFERROR(N(INDEX(Tracks!$G$2:$G$41,MATCH(A497,Tracks!$A$2:$A$41,0))),0))*P497/240))</f>
        <v/>
      </c>
      <c r="R497" s="9" t="str">
        <f aca="false">IF(Q497="","",INT(Q497)+1)</f>
        <v/>
      </c>
      <c r="S497" s="10" t="str">
        <f aca="false">IF(OR(Q497="",D497&lt;&gt;""),"",MIN(4.75,ROUND((Q497-INT(Q497))*16,0)/4+1))</f>
        <v/>
      </c>
      <c r="T497" s="11" t="str">
        <f aca="false">IF(OR(E497="",N(P497)&lt;=0),"",E497*P497/240)</f>
        <v/>
      </c>
      <c r="U497" s="9" t="str">
        <f aca="false">IF(Q497="","",IF(MIN(MOD(Q497,32),32-MOD(Q497,32))&lt;=0.25,32,IF(MIN(MOD(Q497,16),16-MOD(Q497,16))&lt;=0.25,16,IF(MIN(MOD(Q497,8),8-MOD(Q497,8))&lt;=0.25,8,""))))</f>
        <v/>
      </c>
      <c r="V497" s="9" t="str">
        <f aca="false">IF(OR(Q497="",T497=""),"",IF(MIN(MOD((Q497+T497),32),32-MOD((Q497+T497),32))&lt;=0.25,32,IF(MIN(MOD((Q497+T497),16),16-MOD((Q497+T497),16))&lt;=0.25,16,IF(MIN(MOD((Q497+T497),8),8-MOD((Q497+T497),8))&lt;=0.25,8,""))))</f>
        <v/>
      </c>
    </row>
    <row r="498" customFormat="false" ht="15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9" t="str">
        <f aca="false">IF(A498="","",IFERROR(INDEX(Tracks!$E$2:$E$41,MATCH(A498,Tracks!$A$2:$A$41,0)),"?"))</f>
        <v/>
      </c>
      <c r="P498" s="9" t="str">
        <f aca="false">IF(A498="","",IFERROR(N(INDEX(Tracks!$F$2:$F$41,MATCH(A498,Tracks!$A$2:$A$41,0))),""))</f>
        <v/>
      </c>
      <c r="Q498" s="10" t="str">
        <f aca="false">IF(D498&lt;&gt;"",D498-1,IF(OR(A498="",C498="",N(P498)&lt;=0),"",(N(B498)*60+C498-IFERROR(N(INDEX(Tracks!$G$2:$G$41,MATCH(A498,Tracks!$A$2:$A$41,0))),0))*P498/240))</f>
        <v/>
      </c>
      <c r="R498" s="9" t="str">
        <f aca="false">IF(Q498="","",INT(Q498)+1)</f>
        <v/>
      </c>
      <c r="S498" s="10" t="str">
        <f aca="false">IF(OR(Q498="",D498&lt;&gt;""),"",MIN(4.75,ROUND((Q498-INT(Q498))*16,0)/4+1))</f>
        <v/>
      </c>
      <c r="T498" s="11" t="str">
        <f aca="false">IF(OR(E498="",N(P498)&lt;=0),"",E498*P498/240)</f>
        <v/>
      </c>
      <c r="U498" s="9" t="str">
        <f aca="false">IF(Q498="","",IF(MIN(MOD(Q498,32),32-MOD(Q498,32))&lt;=0.25,32,IF(MIN(MOD(Q498,16),16-MOD(Q498,16))&lt;=0.25,16,IF(MIN(MOD(Q498,8),8-MOD(Q498,8))&lt;=0.25,8,""))))</f>
        <v/>
      </c>
      <c r="V498" s="9" t="str">
        <f aca="false">IF(OR(Q498="",T498=""),"",IF(MIN(MOD((Q498+T498),32),32-MOD((Q498+T498),32))&lt;=0.25,32,IF(MIN(MOD((Q498+T498),16),16-MOD((Q498+T498),16))&lt;=0.25,16,IF(MIN(MOD((Q498+T498),8),8-MOD((Q498+T498),8))&lt;=0.25,8,""))))</f>
        <v/>
      </c>
    </row>
    <row r="499" customFormat="false" ht="15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9" t="str">
        <f aca="false">IF(A499="","",IFERROR(INDEX(Tracks!$E$2:$E$41,MATCH(A499,Tracks!$A$2:$A$41,0)),"?"))</f>
        <v/>
      </c>
      <c r="P499" s="9" t="str">
        <f aca="false">IF(A499="","",IFERROR(N(INDEX(Tracks!$F$2:$F$41,MATCH(A499,Tracks!$A$2:$A$41,0))),""))</f>
        <v/>
      </c>
      <c r="Q499" s="10" t="str">
        <f aca="false">IF(D499&lt;&gt;"",D499-1,IF(OR(A499="",C499="",N(P499)&lt;=0),"",(N(B499)*60+C499-IFERROR(N(INDEX(Tracks!$G$2:$G$41,MATCH(A499,Tracks!$A$2:$A$41,0))),0))*P499/240))</f>
        <v/>
      </c>
      <c r="R499" s="9" t="str">
        <f aca="false">IF(Q499="","",INT(Q499)+1)</f>
        <v/>
      </c>
      <c r="S499" s="10" t="str">
        <f aca="false">IF(OR(Q499="",D499&lt;&gt;""),"",MIN(4.75,ROUND((Q499-INT(Q499))*16,0)/4+1))</f>
        <v/>
      </c>
      <c r="T499" s="11" t="str">
        <f aca="false">IF(OR(E499="",N(P499)&lt;=0),"",E499*P499/240)</f>
        <v/>
      </c>
      <c r="U499" s="9" t="str">
        <f aca="false">IF(Q499="","",IF(MIN(MOD(Q499,32),32-MOD(Q499,32))&lt;=0.25,32,IF(MIN(MOD(Q499,16),16-MOD(Q499,16))&lt;=0.25,16,IF(MIN(MOD(Q499,8),8-MOD(Q499,8))&lt;=0.25,8,""))))</f>
        <v/>
      </c>
      <c r="V499" s="9" t="str">
        <f aca="false">IF(OR(Q499="",T499=""),"",IF(MIN(MOD((Q499+T499),32),32-MOD((Q499+T499),32))&lt;=0.25,32,IF(MIN(MOD((Q499+T499),16),16-MOD((Q499+T499),16))&lt;=0.25,16,IF(MIN(MOD((Q499+T499),8),8-MOD((Q499+T499),8))&lt;=0.25,8,""))))</f>
        <v/>
      </c>
    </row>
    <row r="500" customFormat="false" ht="15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9" t="str">
        <f aca="false">IF(A500="","",IFERROR(INDEX(Tracks!$E$2:$E$41,MATCH(A500,Tracks!$A$2:$A$41,0)),"?"))</f>
        <v/>
      </c>
      <c r="P500" s="9" t="str">
        <f aca="false">IF(A500="","",IFERROR(N(INDEX(Tracks!$F$2:$F$41,MATCH(A500,Tracks!$A$2:$A$41,0))),""))</f>
        <v/>
      </c>
      <c r="Q500" s="10" t="str">
        <f aca="false">IF(D500&lt;&gt;"",D500-1,IF(OR(A500="",C500="",N(P500)&lt;=0),"",(N(B500)*60+C500-IFERROR(N(INDEX(Tracks!$G$2:$G$41,MATCH(A500,Tracks!$A$2:$A$41,0))),0))*P500/240))</f>
        <v/>
      </c>
      <c r="R500" s="9" t="str">
        <f aca="false">IF(Q500="","",INT(Q500)+1)</f>
        <v/>
      </c>
      <c r="S500" s="10" t="str">
        <f aca="false">IF(OR(Q500="",D500&lt;&gt;""),"",MIN(4.75,ROUND((Q500-INT(Q500))*16,0)/4+1))</f>
        <v/>
      </c>
      <c r="T500" s="11" t="str">
        <f aca="false">IF(OR(E500="",N(P500)&lt;=0),"",E500*P500/240)</f>
        <v/>
      </c>
      <c r="U500" s="9" t="str">
        <f aca="false">IF(Q500="","",IF(MIN(MOD(Q500,32),32-MOD(Q500,32))&lt;=0.25,32,IF(MIN(MOD(Q500,16),16-MOD(Q500,16))&lt;=0.25,16,IF(MIN(MOD(Q500,8),8-MOD(Q500,8))&lt;=0.25,8,""))))</f>
        <v/>
      </c>
      <c r="V500" s="9" t="str">
        <f aca="false">IF(OR(Q500="",T500=""),"",IF(MIN(MOD((Q500+T500),32),32-MOD((Q500+T500),32))&lt;=0.25,32,IF(MIN(MOD((Q500+T500),16),16-MOD((Q500+T500),16))&lt;=0.25,16,IF(MIN(MOD((Q500+T500),8),8-MOD((Q500+T500),8))&lt;=0.25,8,""))))</f>
        <v/>
      </c>
    </row>
    <row r="501" customFormat="false" ht="15" hidden="false" customHeight="fals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9" t="str">
        <f aca="false">IF(A501="","",IFERROR(INDEX(Tracks!$E$2:$E$41,MATCH(A501,Tracks!$A$2:$A$41,0)),"?"))</f>
        <v/>
      </c>
      <c r="P501" s="9" t="str">
        <f aca="false">IF(A501="","",IFERROR(N(INDEX(Tracks!$F$2:$F$41,MATCH(A501,Tracks!$A$2:$A$41,0))),""))</f>
        <v/>
      </c>
      <c r="Q501" s="10" t="str">
        <f aca="false">IF(D501&lt;&gt;"",D501-1,IF(OR(A501="",C501="",N(P501)&lt;=0),"",(N(B501)*60+C501-IFERROR(N(INDEX(Tracks!$G$2:$G$41,MATCH(A501,Tracks!$A$2:$A$41,0))),0))*P501/240))</f>
        <v/>
      </c>
      <c r="R501" s="9" t="str">
        <f aca="false">IF(Q501="","",INT(Q501)+1)</f>
        <v/>
      </c>
      <c r="S501" s="10" t="str">
        <f aca="false">IF(OR(Q501="",D501&lt;&gt;""),"",MIN(4.75,ROUND((Q501-INT(Q501))*16,0)/4+1))</f>
        <v/>
      </c>
      <c r="T501" s="11" t="str">
        <f aca="false">IF(OR(E501="",N(P501)&lt;=0),"",E501*P501/240)</f>
        <v/>
      </c>
      <c r="U501" s="9" t="str">
        <f aca="false">IF(Q501="","",IF(MIN(MOD(Q501,32),32-MOD(Q501,32))&lt;=0.25,32,IF(MIN(MOD(Q501,16),16-MOD(Q501,16))&lt;=0.25,16,IF(MIN(MOD(Q501,8),8-MOD(Q501,8))&lt;=0.25,8,""))))</f>
        <v/>
      </c>
      <c r="V501" s="9" t="str">
        <f aca="false">IF(OR(Q501="",T501=""),"",IF(MIN(MOD((Q501+T501),32),32-MOD((Q501+T501),32))&lt;=0.25,32,IF(MIN(MOD((Q501+T501),16),16-MOD((Q501+T501),16))&lt;=0.25,16,IF(MIN(MOD((Q501+T501),8),8-MOD((Q501+T501),8))&lt;=0.25,8,""))))</f>
        <v/>
      </c>
    </row>
  </sheetData>
  <autoFilter ref="A1:V501"/>
  <dataValidations count="8">
    <dataValidation allowBlank="true" error="Pick a value from the list (see the Lists sheet)." errorStyle="stop" errorTitle="Not in the list" operator="between" showDropDown="false" showErrorMessage="false" showInputMessage="false" sqref="A2:A501" type="list">
      <formula1>Tracks!$A$2:$A$41</formula1>
      <formula2>0</formula2>
    </dataValidation>
    <dataValidation allowBlank="true" error="Pick a value from the list (see the Lists sheet)." errorStyle="stop" errorTitle="Not in the list" operator="between" showDropDown="false" showErrorMessage="false" showInputMessage="false" sqref="F2:F501" type="list">
      <formula1>Lists!$B$2:$B$8</formula1>
      <formula2>0</formula2>
    </dataValidation>
    <dataValidation allowBlank="true" error="Pick a value from the list (see the Lists sheet)." errorStyle="stop" errorTitle="Not in the list" operator="between" showDropDown="false" showErrorMessage="false" showInputMessage="false" sqref="G2:G501" type="list">
      <formula1>Lists!$C$2:$C$6</formula1>
      <formula2>0</formula2>
    </dataValidation>
    <dataValidation allowBlank="true" error="Pick a value from the list (see the Lists sheet)." errorStyle="stop" errorTitle="Not in the list" operator="between" showDropDown="false" showErrorMessage="false" showInputMessage="false" sqref="H2:H501" type="list">
      <formula1>Lists!$D$2:$D$9</formula1>
      <formula2>0</formula2>
    </dataValidation>
    <dataValidation allowBlank="true" error="Pick a value from the list (see the Lists sheet)." errorStyle="stop" errorTitle="Not in the list" operator="between" showDropDown="false" showErrorMessage="false" showInputMessage="false" sqref="I2:I501" type="list">
      <formula1>Lists!$E$2:$E$7</formula1>
      <formula2>0</formula2>
    </dataValidation>
    <dataValidation allowBlank="true" error="Pick a value from the list (see the Lists sheet)." errorStyle="stop" errorTitle="Not in the list" operator="between" showDropDown="false" showErrorMessage="false" showInputMessage="false" sqref="J2:J501" type="list">
      <formula1>Lists!$F$2:$F$7</formula1>
      <formula2>0</formula2>
    </dataValidation>
    <dataValidation allowBlank="true" error="Pick a value from the list (see the Lists sheet)." errorStyle="stop" errorTitle="Not in the list" operator="between" showDropDown="false" showErrorMessage="false" showInputMessage="false" sqref="K2:K501" type="list">
      <formula1>Lists!$G$2:$G$4</formula1>
      <formula2>0</formula2>
    </dataValidation>
    <dataValidation allowBlank="true" error="Pick a value from the list (see the Lists sheet)." errorStyle="stop" errorTitle="Not in the list" operator="between" showDropDown="false" showErrorMessage="false" showInputMessage="false" sqref="L2:L501" type="list">
      <formula1>Lists!$H$2:$H$4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9" min="2" style="0" width="13"/>
  </cols>
  <sheetData>
    <row r="1" customFormat="false" ht="17.35" hidden="false" customHeight="false" outlineLevel="0" collapsed="false">
      <c r="A1" s="1" t="s">
        <v>80</v>
      </c>
    </row>
    <row r="2" customFormat="false" ht="15" hidden="false" customHeight="false" outlineLevel="0" collapsed="false">
      <c r="A2" s="12" t="s">
        <v>81</v>
      </c>
    </row>
    <row r="4" customFormat="false" ht="15" hidden="false" customHeight="false" outlineLevel="0" collapsed="false">
      <c r="A4" s="3" t="s">
        <v>82</v>
      </c>
    </row>
    <row r="5" customFormat="false" ht="15" hidden="false" customHeight="false" outlineLevel="0" collapsed="false">
      <c r="A5" s="13" t="s">
        <v>39</v>
      </c>
      <c r="B5" s="14" t="s">
        <v>83</v>
      </c>
      <c r="C5" s="14" t="s">
        <v>84</v>
      </c>
      <c r="D5" s="14" t="s">
        <v>85</v>
      </c>
      <c r="E5" s="14" t="s">
        <v>86</v>
      </c>
      <c r="F5" s="14" t="s">
        <v>87</v>
      </c>
      <c r="G5" s="14" t="s">
        <v>88</v>
      </c>
      <c r="H5" s="14" t="s">
        <v>89</v>
      </c>
    </row>
    <row r="6" customFormat="false" ht="15" hidden="false" customHeight="false" outlineLevel="0" collapsed="false">
      <c r="A6" s="0" t="s">
        <v>56</v>
      </c>
      <c r="B6" s="0" t="n">
        <f aca="false">COUNTIFS(Log!$G$2:$G$501,$A6,Log!$O$2:$O$501,B$5)</f>
        <v>0</v>
      </c>
      <c r="C6" s="0" t="n">
        <f aca="false">COUNTIFS(Log!$G$2:$G$501,$A6,Log!$O$2:$O$501,C$5)</f>
        <v>0</v>
      </c>
      <c r="D6" s="0" t="n">
        <f aca="false">COUNTIFS(Log!$G$2:$G$501,$A6,Log!$O$2:$O$501,D$5)</f>
        <v>0</v>
      </c>
      <c r="E6" s="0" t="n">
        <f aca="false">COUNTIFS(Log!$G$2:$G$501,$A6,Log!$O$2:$O$501,E$5)</f>
        <v>0</v>
      </c>
      <c r="F6" s="0" t="n">
        <f aca="false">COUNTIFS(Log!$G$2:$G$501,$A6,Log!$O$2:$O$501,F$5)</f>
        <v>0</v>
      </c>
      <c r="G6" s="0" t="n">
        <f aca="false">COUNTIFS(Log!$G$2:$G$501,$A6,Log!$O$2:$O$501,G$5)</f>
        <v>0</v>
      </c>
      <c r="H6" s="0" t="n">
        <f aca="false">SUM(B6:G6)</f>
        <v>0</v>
      </c>
    </row>
    <row r="7" customFormat="false" ht="15" hidden="false" customHeight="false" outlineLevel="0" collapsed="false">
      <c r="A7" s="0" t="s">
        <v>90</v>
      </c>
      <c r="B7" s="0" t="n">
        <f aca="false">COUNTIFS(Log!$G$2:$G$501,$A7,Log!$O$2:$O$501,B$5)</f>
        <v>0</v>
      </c>
      <c r="C7" s="0" t="n">
        <f aca="false">COUNTIFS(Log!$G$2:$G$501,$A7,Log!$O$2:$O$501,C$5)</f>
        <v>0</v>
      </c>
      <c r="D7" s="0" t="n">
        <f aca="false">COUNTIFS(Log!$G$2:$G$501,$A7,Log!$O$2:$O$501,D$5)</f>
        <v>0</v>
      </c>
      <c r="E7" s="0" t="n">
        <f aca="false">COUNTIFS(Log!$G$2:$G$501,$A7,Log!$O$2:$O$501,E$5)</f>
        <v>0</v>
      </c>
      <c r="F7" s="0" t="n">
        <f aca="false">COUNTIFS(Log!$G$2:$G$501,$A7,Log!$O$2:$O$501,F$5)</f>
        <v>0</v>
      </c>
      <c r="G7" s="0" t="n">
        <f aca="false">COUNTIFS(Log!$G$2:$G$501,$A7,Log!$O$2:$O$501,G$5)</f>
        <v>0</v>
      </c>
      <c r="H7" s="0" t="n">
        <f aca="false">SUM(B7:G7)</f>
        <v>0</v>
      </c>
    </row>
    <row r="8" customFormat="false" ht="15" hidden="false" customHeight="false" outlineLevel="0" collapsed="false">
      <c r="A8" s="0" t="s">
        <v>65</v>
      </c>
      <c r="B8" s="0" t="n">
        <f aca="false">COUNTIFS(Log!$G$2:$G$501,$A8,Log!$O$2:$O$501,B$5)</f>
        <v>0</v>
      </c>
      <c r="C8" s="0" t="n">
        <f aca="false">COUNTIFS(Log!$G$2:$G$501,$A8,Log!$O$2:$O$501,C$5)</f>
        <v>0</v>
      </c>
      <c r="D8" s="0" t="n">
        <f aca="false">COUNTIFS(Log!$G$2:$G$501,$A8,Log!$O$2:$O$501,D$5)</f>
        <v>0</v>
      </c>
      <c r="E8" s="0" t="n">
        <f aca="false">COUNTIFS(Log!$G$2:$G$501,$A8,Log!$O$2:$O$501,E$5)</f>
        <v>0</v>
      </c>
      <c r="F8" s="0" t="n">
        <f aca="false">COUNTIFS(Log!$G$2:$G$501,$A8,Log!$O$2:$O$501,F$5)</f>
        <v>0</v>
      </c>
      <c r="G8" s="0" t="n">
        <f aca="false">COUNTIFS(Log!$G$2:$G$501,$A8,Log!$O$2:$O$501,G$5)</f>
        <v>0</v>
      </c>
      <c r="H8" s="0" t="n">
        <f aca="false">SUM(B8:G8)</f>
        <v>0</v>
      </c>
    </row>
    <row r="9" customFormat="false" ht="15" hidden="false" customHeight="false" outlineLevel="0" collapsed="false">
      <c r="A9" s="0" t="s">
        <v>91</v>
      </c>
      <c r="B9" s="0" t="n">
        <f aca="false">COUNTIFS(Log!$G$2:$G$501,$A9,Log!$O$2:$O$501,B$5)</f>
        <v>0</v>
      </c>
      <c r="C9" s="0" t="n">
        <f aca="false">COUNTIFS(Log!$G$2:$G$501,$A9,Log!$O$2:$O$501,C$5)</f>
        <v>0</v>
      </c>
      <c r="D9" s="0" t="n">
        <f aca="false">COUNTIFS(Log!$G$2:$G$501,$A9,Log!$O$2:$O$501,D$5)</f>
        <v>0</v>
      </c>
      <c r="E9" s="0" t="n">
        <f aca="false">COUNTIFS(Log!$G$2:$G$501,$A9,Log!$O$2:$O$501,E$5)</f>
        <v>0</v>
      </c>
      <c r="F9" s="0" t="n">
        <f aca="false">COUNTIFS(Log!$G$2:$G$501,$A9,Log!$O$2:$O$501,F$5)</f>
        <v>0</v>
      </c>
      <c r="G9" s="0" t="n">
        <f aca="false">COUNTIFS(Log!$G$2:$G$501,$A9,Log!$O$2:$O$501,G$5)</f>
        <v>0</v>
      </c>
      <c r="H9" s="0" t="n">
        <f aca="false">SUM(B9:G9)</f>
        <v>0</v>
      </c>
    </row>
    <row r="10" customFormat="false" ht="15" hidden="false" customHeight="false" outlineLevel="0" collapsed="false">
      <c r="A10" s="0" t="s">
        <v>73</v>
      </c>
      <c r="B10" s="0" t="n">
        <f aca="false">COUNTIFS(Log!$G$2:$G$501,$A10,Log!$O$2:$O$501,B$5)</f>
        <v>0</v>
      </c>
      <c r="C10" s="0" t="n">
        <f aca="false">COUNTIFS(Log!$G$2:$G$501,$A10,Log!$O$2:$O$501,C$5)</f>
        <v>0</v>
      </c>
      <c r="D10" s="0" t="n">
        <f aca="false">COUNTIFS(Log!$G$2:$G$501,$A10,Log!$O$2:$O$501,D$5)</f>
        <v>0</v>
      </c>
      <c r="E10" s="0" t="n">
        <f aca="false">COUNTIFS(Log!$G$2:$G$501,$A10,Log!$O$2:$O$501,E$5)</f>
        <v>0</v>
      </c>
      <c r="F10" s="0" t="n">
        <f aca="false">COUNTIFS(Log!$G$2:$G$501,$A10,Log!$O$2:$O$501,F$5)</f>
        <v>0</v>
      </c>
      <c r="G10" s="0" t="n">
        <f aca="false">COUNTIFS(Log!$G$2:$G$501,$A10,Log!$O$2:$O$501,G$5)</f>
        <v>0</v>
      </c>
      <c r="H10" s="0" t="n">
        <f aca="false">SUM(B10:G10)</f>
        <v>0</v>
      </c>
    </row>
    <row r="11" customFormat="false" ht="15" hidden="false" customHeight="false" outlineLevel="0" collapsed="false">
      <c r="A11" s="15" t="s">
        <v>92</v>
      </c>
      <c r="B11" s="15" t="n">
        <f aca="false">SUM(B6:B10)</f>
        <v>0</v>
      </c>
      <c r="C11" s="15" t="n">
        <f aca="false">SUM(C6:C10)</f>
        <v>0</v>
      </c>
      <c r="D11" s="15" t="n">
        <f aca="false">SUM(D6:D10)</f>
        <v>0</v>
      </c>
      <c r="E11" s="15" t="n">
        <f aca="false">SUM(E6:E10)</f>
        <v>0</v>
      </c>
      <c r="F11" s="15" t="n">
        <f aca="false">SUM(F6:F10)</f>
        <v>0</v>
      </c>
      <c r="G11" s="15" t="n">
        <f aca="false">SUM(G6:G10)</f>
        <v>0</v>
      </c>
      <c r="H11" s="15" t="n">
        <f aca="false">SUM(H6:H10)</f>
        <v>0</v>
      </c>
    </row>
    <row r="13" customFormat="false" ht="15" hidden="false" customHeight="false" outlineLevel="0" collapsed="false">
      <c r="A13" s="3" t="s">
        <v>93</v>
      </c>
    </row>
    <row r="14" customFormat="false" ht="15" hidden="false" customHeight="false" outlineLevel="0" collapsed="false">
      <c r="A14" s="13" t="s">
        <v>39</v>
      </c>
      <c r="B14" s="14" t="s">
        <v>55</v>
      </c>
      <c r="C14" s="14" t="s">
        <v>64</v>
      </c>
      <c r="D14" s="14" t="s">
        <v>94</v>
      </c>
      <c r="E14" s="14" t="s">
        <v>72</v>
      </c>
      <c r="F14" s="14" t="s">
        <v>95</v>
      </c>
      <c r="G14" s="14" t="s">
        <v>96</v>
      </c>
      <c r="H14" s="14" t="s">
        <v>97</v>
      </c>
    </row>
    <row r="15" customFormat="false" ht="15" hidden="false" customHeight="false" outlineLevel="0" collapsed="false">
      <c r="A15" s="0" t="s">
        <v>56</v>
      </c>
      <c r="B15" s="16" t="str">
        <f aca="false">IFERROR(COUNTIFS(Log!$G$2:$G$501,$A15,Log!$F$2:$F$501,B$14,Log!$O$2:$O$501,"&lt;&gt;Example")/(B$20/8),"-")</f>
        <v>-</v>
      </c>
      <c r="C15" s="16" t="str">
        <f aca="false">IFERROR(COUNTIFS(Log!$G$2:$G$501,$A15,Log!$F$2:$F$501,C$14,Log!$O$2:$O$501,"&lt;&gt;Example")/(C$20/8),"-")</f>
        <v>-</v>
      </c>
      <c r="D15" s="16" t="str">
        <f aca="false">IFERROR(COUNTIFS(Log!$G$2:$G$501,$A15,Log!$F$2:$F$501,D$14,Log!$O$2:$O$501,"&lt;&gt;Example")/(D$20/8),"-")</f>
        <v>-</v>
      </c>
      <c r="E15" s="16" t="str">
        <f aca="false">IFERROR(COUNTIFS(Log!$G$2:$G$501,$A15,Log!$F$2:$F$501,E$14,Log!$O$2:$O$501,"&lt;&gt;Example")/(E$20/8),"-")</f>
        <v>-</v>
      </c>
      <c r="F15" s="16" t="str">
        <f aca="false">IFERROR(COUNTIFS(Log!$G$2:$G$501,$A15,Log!$F$2:$F$501,F$14,Log!$O$2:$O$501,"&lt;&gt;Example")/(F$20/8),"-")</f>
        <v>-</v>
      </c>
      <c r="G15" s="16" t="str">
        <f aca="false">IFERROR(COUNTIFS(Log!$G$2:$G$501,$A15,Log!$F$2:$F$501,G$14,Log!$O$2:$O$501,"&lt;&gt;Example")/(G$20/8),"-")</f>
        <v>-</v>
      </c>
      <c r="H15" s="16" t="str">
        <f aca="false">IFERROR(COUNTIFS(Log!$G$2:$G$501,$A15,Log!$F$2:$F$501,H$14,Log!$O$2:$O$501,"&lt;&gt;Example")/(H$20/8),"-")</f>
        <v>-</v>
      </c>
    </row>
    <row r="16" customFormat="false" ht="15" hidden="false" customHeight="false" outlineLevel="0" collapsed="false">
      <c r="A16" s="0" t="s">
        <v>90</v>
      </c>
      <c r="B16" s="16" t="str">
        <f aca="false">IFERROR(COUNTIFS(Log!$G$2:$G$501,$A16,Log!$F$2:$F$501,B$14,Log!$O$2:$O$501,"&lt;&gt;Example")/(B$20/8),"-")</f>
        <v>-</v>
      </c>
      <c r="C16" s="16" t="str">
        <f aca="false">IFERROR(COUNTIFS(Log!$G$2:$G$501,$A16,Log!$F$2:$F$501,C$14,Log!$O$2:$O$501,"&lt;&gt;Example")/(C$20/8),"-")</f>
        <v>-</v>
      </c>
      <c r="D16" s="16" t="str">
        <f aca="false">IFERROR(COUNTIFS(Log!$G$2:$G$501,$A16,Log!$F$2:$F$501,D$14,Log!$O$2:$O$501,"&lt;&gt;Example")/(D$20/8),"-")</f>
        <v>-</v>
      </c>
      <c r="E16" s="16" t="str">
        <f aca="false">IFERROR(COUNTIFS(Log!$G$2:$G$501,$A16,Log!$F$2:$F$501,E$14,Log!$O$2:$O$501,"&lt;&gt;Example")/(E$20/8),"-")</f>
        <v>-</v>
      </c>
      <c r="F16" s="16" t="str">
        <f aca="false">IFERROR(COUNTIFS(Log!$G$2:$G$501,$A16,Log!$F$2:$F$501,F$14,Log!$O$2:$O$501,"&lt;&gt;Example")/(F$20/8),"-")</f>
        <v>-</v>
      </c>
      <c r="G16" s="16" t="str">
        <f aca="false">IFERROR(COUNTIFS(Log!$G$2:$G$501,$A16,Log!$F$2:$F$501,G$14,Log!$O$2:$O$501,"&lt;&gt;Example")/(G$20/8),"-")</f>
        <v>-</v>
      </c>
      <c r="H16" s="16" t="str">
        <f aca="false">IFERROR(COUNTIFS(Log!$G$2:$G$501,$A16,Log!$F$2:$F$501,H$14,Log!$O$2:$O$501,"&lt;&gt;Example")/(H$20/8),"-")</f>
        <v>-</v>
      </c>
    </row>
    <row r="17" customFormat="false" ht="15" hidden="false" customHeight="false" outlineLevel="0" collapsed="false">
      <c r="A17" s="0" t="s">
        <v>65</v>
      </c>
      <c r="B17" s="16" t="str">
        <f aca="false">IFERROR(COUNTIFS(Log!$G$2:$G$501,$A17,Log!$F$2:$F$501,B$14,Log!$O$2:$O$501,"&lt;&gt;Example")/(B$20/8),"-")</f>
        <v>-</v>
      </c>
      <c r="C17" s="16" t="str">
        <f aca="false">IFERROR(COUNTIFS(Log!$G$2:$G$501,$A17,Log!$F$2:$F$501,C$14,Log!$O$2:$O$501,"&lt;&gt;Example")/(C$20/8),"-")</f>
        <v>-</v>
      </c>
      <c r="D17" s="16" t="str">
        <f aca="false">IFERROR(COUNTIFS(Log!$G$2:$G$501,$A17,Log!$F$2:$F$501,D$14,Log!$O$2:$O$501,"&lt;&gt;Example")/(D$20/8),"-")</f>
        <v>-</v>
      </c>
      <c r="E17" s="16" t="str">
        <f aca="false">IFERROR(COUNTIFS(Log!$G$2:$G$501,$A17,Log!$F$2:$F$501,E$14,Log!$O$2:$O$501,"&lt;&gt;Example")/(E$20/8),"-")</f>
        <v>-</v>
      </c>
      <c r="F17" s="16" t="str">
        <f aca="false">IFERROR(COUNTIFS(Log!$G$2:$G$501,$A17,Log!$F$2:$F$501,F$14,Log!$O$2:$O$501,"&lt;&gt;Example")/(F$20/8),"-")</f>
        <v>-</v>
      </c>
      <c r="G17" s="16" t="str">
        <f aca="false">IFERROR(COUNTIFS(Log!$G$2:$G$501,$A17,Log!$F$2:$F$501,G$14,Log!$O$2:$O$501,"&lt;&gt;Example")/(G$20/8),"-")</f>
        <v>-</v>
      </c>
      <c r="H17" s="16" t="str">
        <f aca="false">IFERROR(COUNTIFS(Log!$G$2:$G$501,$A17,Log!$F$2:$F$501,H$14,Log!$O$2:$O$501,"&lt;&gt;Example")/(H$20/8),"-")</f>
        <v>-</v>
      </c>
    </row>
    <row r="18" customFormat="false" ht="15" hidden="false" customHeight="false" outlineLevel="0" collapsed="false">
      <c r="A18" s="0" t="s">
        <v>91</v>
      </c>
      <c r="B18" s="16" t="str">
        <f aca="false">IFERROR(COUNTIFS(Log!$G$2:$G$501,$A18,Log!$F$2:$F$501,B$14,Log!$O$2:$O$501,"&lt;&gt;Example")/(B$20/8),"-")</f>
        <v>-</v>
      </c>
      <c r="C18" s="16" t="str">
        <f aca="false">IFERROR(COUNTIFS(Log!$G$2:$G$501,$A18,Log!$F$2:$F$501,C$14,Log!$O$2:$O$501,"&lt;&gt;Example")/(C$20/8),"-")</f>
        <v>-</v>
      </c>
      <c r="D18" s="16" t="str">
        <f aca="false">IFERROR(COUNTIFS(Log!$G$2:$G$501,$A18,Log!$F$2:$F$501,D$14,Log!$O$2:$O$501,"&lt;&gt;Example")/(D$20/8),"-")</f>
        <v>-</v>
      </c>
      <c r="E18" s="16" t="str">
        <f aca="false">IFERROR(COUNTIFS(Log!$G$2:$G$501,$A18,Log!$F$2:$F$501,E$14,Log!$O$2:$O$501,"&lt;&gt;Example")/(E$20/8),"-")</f>
        <v>-</v>
      </c>
      <c r="F18" s="16" t="str">
        <f aca="false">IFERROR(COUNTIFS(Log!$G$2:$G$501,$A18,Log!$F$2:$F$501,F$14,Log!$O$2:$O$501,"&lt;&gt;Example")/(F$20/8),"-")</f>
        <v>-</v>
      </c>
      <c r="G18" s="16" t="str">
        <f aca="false">IFERROR(COUNTIFS(Log!$G$2:$G$501,$A18,Log!$F$2:$F$501,G$14,Log!$O$2:$O$501,"&lt;&gt;Example")/(G$20/8),"-")</f>
        <v>-</v>
      </c>
      <c r="H18" s="16" t="str">
        <f aca="false">IFERROR(COUNTIFS(Log!$G$2:$G$501,$A18,Log!$F$2:$F$501,H$14,Log!$O$2:$O$501,"&lt;&gt;Example")/(H$20/8),"-")</f>
        <v>-</v>
      </c>
    </row>
    <row r="19" customFormat="false" ht="15" hidden="false" customHeight="false" outlineLevel="0" collapsed="false">
      <c r="A19" s="0" t="s">
        <v>73</v>
      </c>
      <c r="B19" s="16" t="str">
        <f aca="false">IFERROR(COUNTIFS(Log!$G$2:$G$501,$A19,Log!$F$2:$F$501,B$14,Log!$O$2:$O$501,"&lt;&gt;Example")/(B$20/8),"-")</f>
        <v>-</v>
      </c>
      <c r="C19" s="16" t="str">
        <f aca="false">IFERROR(COUNTIFS(Log!$G$2:$G$501,$A19,Log!$F$2:$F$501,C$14,Log!$O$2:$O$501,"&lt;&gt;Example")/(C$20/8),"-")</f>
        <v>-</v>
      </c>
      <c r="D19" s="16" t="str">
        <f aca="false">IFERROR(COUNTIFS(Log!$G$2:$G$501,$A19,Log!$F$2:$F$501,D$14,Log!$O$2:$O$501,"&lt;&gt;Example")/(D$20/8),"-")</f>
        <v>-</v>
      </c>
      <c r="E19" s="16" t="str">
        <f aca="false">IFERROR(COUNTIFS(Log!$G$2:$G$501,$A19,Log!$F$2:$F$501,E$14,Log!$O$2:$O$501,"&lt;&gt;Example")/(E$20/8),"-")</f>
        <v>-</v>
      </c>
      <c r="F19" s="16" t="str">
        <f aca="false">IFERROR(COUNTIFS(Log!$G$2:$G$501,$A19,Log!$F$2:$F$501,F$14,Log!$O$2:$O$501,"&lt;&gt;Example")/(F$20/8),"-")</f>
        <v>-</v>
      </c>
      <c r="G19" s="16" t="str">
        <f aca="false">IFERROR(COUNTIFS(Log!$G$2:$G$501,$A19,Log!$F$2:$F$501,G$14,Log!$O$2:$O$501,"&lt;&gt;Example")/(G$20/8),"-")</f>
        <v>-</v>
      </c>
      <c r="H19" s="16" t="str">
        <f aca="false">IFERROR(COUNTIFS(Log!$G$2:$G$501,$A19,Log!$F$2:$F$501,H$14,Log!$O$2:$O$501,"&lt;&gt;Example")/(H$20/8),"-")</f>
        <v>-</v>
      </c>
    </row>
    <row r="20" customFormat="false" ht="15" hidden="false" customHeight="false" outlineLevel="0" collapsed="false">
      <c r="A20" s="12" t="s">
        <v>98</v>
      </c>
      <c r="B20" s="12" t="n">
        <f aca="false">SUMIFS(Sections!$E$2:$E$201,Sections!$B$2:$B$201,B$14,Sections!$A$2:$A$201,"&lt;&gt;EX")</f>
        <v>0</v>
      </c>
      <c r="C20" s="12" t="n">
        <f aca="false">SUMIFS(Sections!$E$2:$E$201,Sections!$B$2:$B$201,C$14,Sections!$A$2:$A$201,"&lt;&gt;EX")</f>
        <v>0</v>
      </c>
      <c r="D20" s="12" t="n">
        <f aca="false">SUMIFS(Sections!$E$2:$E$201,Sections!$B$2:$B$201,D$14,Sections!$A$2:$A$201,"&lt;&gt;EX")</f>
        <v>0</v>
      </c>
      <c r="E20" s="12" t="n">
        <f aca="false">SUMIFS(Sections!$E$2:$E$201,Sections!$B$2:$B$201,E$14,Sections!$A$2:$A$201,"&lt;&gt;EX")</f>
        <v>0</v>
      </c>
      <c r="F20" s="12" t="n">
        <f aca="false">SUMIFS(Sections!$E$2:$E$201,Sections!$B$2:$B$201,F$14,Sections!$A$2:$A$201,"&lt;&gt;EX")</f>
        <v>0</v>
      </c>
      <c r="G20" s="12" t="n">
        <f aca="false">SUMIFS(Sections!$E$2:$E$201,Sections!$B$2:$B$201,G$14,Sections!$A$2:$A$201,"&lt;&gt;EX")</f>
        <v>0</v>
      </c>
      <c r="H20" s="12" t="n">
        <f aca="false">SUMIFS(Sections!$E$2:$E$201,Sections!$B$2:$B$201,H$14,Sections!$A$2:$A$201,"&lt;&gt;EX")</f>
        <v>0</v>
      </c>
    </row>
    <row r="22" customFormat="false" ht="15" hidden="false" customHeight="false" outlineLevel="0" collapsed="false">
      <c r="A22" s="3" t="s">
        <v>99</v>
      </c>
    </row>
    <row r="23" customFormat="false" ht="23.85" hidden="false" customHeight="false" outlineLevel="0" collapsed="false">
      <c r="A23" s="13" t="s">
        <v>39</v>
      </c>
      <c r="B23" s="14" t="s">
        <v>100</v>
      </c>
      <c r="C23" s="14" t="s">
        <v>101</v>
      </c>
      <c r="D23" s="14" t="s">
        <v>102</v>
      </c>
      <c r="E23" s="14" t="s">
        <v>103</v>
      </c>
      <c r="F23" s="14" t="s">
        <v>102</v>
      </c>
      <c r="G23" s="14" t="s">
        <v>104</v>
      </c>
    </row>
    <row r="24" customFormat="false" ht="15" hidden="false" customHeight="false" outlineLevel="0" collapsed="false">
      <c r="A24" s="0" t="s">
        <v>56</v>
      </c>
      <c r="B24" s="0" t="n">
        <f aca="false">COUNTIFS(Log!$G$2:$G$501,$A24,Log!$O$2:$O$501,"&lt;&gt;Example")</f>
        <v>0</v>
      </c>
      <c r="C24" s="0" t="n">
        <f aca="false">COUNTIFS(Log!$G$2:$G$501,$A24,Log!$O$2:$O$501,"&lt;&gt;Example",Log!$U$2:$U$501,"&gt;0")</f>
        <v>0</v>
      </c>
      <c r="D24" s="17" t="str">
        <f aca="false">IFERROR(C24/B24,"-")</f>
        <v>-</v>
      </c>
      <c r="E24" s="18" t="n">
        <f aca="false">COUNTIFS(Log!$G$2:$G$501,$A24,Log!$O$2:$O$501,"&lt;&gt;Example",Log!$V$2:$V$501,"&gt;0")</f>
        <v>0</v>
      </c>
      <c r="F24" s="17" t="str">
        <f aca="false">IFERROR(E24/B24,"-")</f>
        <v>-</v>
      </c>
      <c r="G24" s="19" t="str">
        <f aca="false">IFERROR(AVERAGEIFS(Log!$T$2:$T$501,Log!$G$2:$G$501,$A24,Log!$O$2:$O$501,"&lt;&gt;Example"),"-")</f>
        <v>-</v>
      </c>
    </row>
    <row r="25" customFormat="false" ht="15" hidden="false" customHeight="false" outlineLevel="0" collapsed="false">
      <c r="A25" s="0" t="s">
        <v>90</v>
      </c>
      <c r="B25" s="0" t="n">
        <f aca="false">COUNTIFS(Log!$G$2:$G$501,$A25,Log!$O$2:$O$501,"&lt;&gt;Example")</f>
        <v>0</v>
      </c>
      <c r="C25" s="0" t="n">
        <f aca="false">COUNTIFS(Log!$G$2:$G$501,$A25,Log!$O$2:$O$501,"&lt;&gt;Example",Log!$U$2:$U$501,"&gt;0")</f>
        <v>0</v>
      </c>
      <c r="D25" s="17" t="str">
        <f aca="false">IFERROR(C25/B25,"-")</f>
        <v>-</v>
      </c>
      <c r="E25" s="18" t="n">
        <f aca="false">COUNTIFS(Log!$G$2:$G$501,$A25,Log!$O$2:$O$501,"&lt;&gt;Example",Log!$V$2:$V$501,"&gt;0")</f>
        <v>0</v>
      </c>
      <c r="F25" s="17" t="str">
        <f aca="false">IFERROR(E25/B25,"-")</f>
        <v>-</v>
      </c>
      <c r="G25" s="19" t="str">
        <f aca="false">IFERROR(AVERAGEIFS(Log!$T$2:$T$501,Log!$G$2:$G$501,$A25,Log!$O$2:$O$501,"&lt;&gt;Example"),"-")</f>
        <v>-</v>
      </c>
    </row>
    <row r="26" customFormat="false" ht="15" hidden="false" customHeight="false" outlineLevel="0" collapsed="false">
      <c r="A26" s="0" t="s">
        <v>65</v>
      </c>
      <c r="B26" s="0" t="n">
        <f aca="false">COUNTIFS(Log!$G$2:$G$501,$A26,Log!$O$2:$O$501,"&lt;&gt;Example")</f>
        <v>0</v>
      </c>
      <c r="C26" s="0" t="n">
        <f aca="false">COUNTIFS(Log!$G$2:$G$501,$A26,Log!$O$2:$O$501,"&lt;&gt;Example",Log!$U$2:$U$501,"&gt;0")</f>
        <v>0</v>
      </c>
      <c r="D26" s="17" t="str">
        <f aca="false">IFERROR(C26/B26,"-")</f>
        <v>-</v>
      </c>
      <c r="E26" s="18" t="n">
        <f aca="false">COUNTIFS(Log!$G$2:$G$501,$A26,Log!$O$2:$O$501,"&lt;&gt;Example",Log!$V$2:$V$501,"&gt;0")</f>
        <v>0</v>
      </c>
      <c r="F26" s="17" t="str">
        <f aca="false">IFERROR(E26/B26,"-")</f>
        <v>-</v>
      </c>
      <c r="G26" s="19" t="str">
        <f aca="false">IFERROR(AVERAGEIFS(Log!$T$2:$T$501,Log!$G$2:$G$501,$A26,Log!$O$2:$O$501,"&lt;&gt;Example"),"-")</f>
        <v>-</v>
      </c>
    </row>
    <row r="27" customFormat="false" ht="15" hidden="false" customHeight="false" outlineLevel="0" collapsed="false">
      <c r="A27" s="0" t="s">
        <v>91</v>
      </c>
      <c r="B27" s="0" t="n">
        <f aca="false">COUNTIFS(Log!$G$2:$G$501,$A27,Log!$O$2:$O$501,"&lt;&gt;Example")</f>
        <v>0</v>
      </c>
      <c r="C27" s="0" t="n">
        <f aca="false">COUNTIFS(Log!$G$2:$G$501,$A27,Log!$O$2:$O$501,"&lt;&gt;Example",Log!$U$2:$U$501,"&gt;0")</f>
        <v>0</v>
      </c>
      <c r="D27" s="17" t="str">
        <f aca="false">IFERROR(C27/B27,"-")</f>
        <v>-</v>
      </c>
      <c r="E27" s="18" t="n">
        <f aca="false">COUNTIFS(Log!$G$2:$G$501,$A27,Log!$O$2:$O$501,"&lt;&gt;Example",Log!$V$2:$V$501,"&gt;0")</f>
        <v>0</v>
      </c>
      <c r="F27" s="17" t="str">
        <f aca="false">IFERROR(E27/B27,"-")</f>
        <v>-</v>
      </c>
      <c r="G27" s="19" t="str">
        <f aca="false">IFERROR(AVERAGEIFS(Log!$T$2:$T$501,Log!$G$2:$G$501,$A27,Log!$O$2:$O$501,"&lt;&gt;Example"),"-")</f>
        <v>-</v>
      </c>
    </row>
    <row r="28" customFormat="false" ht="15" hidden="false" customHeight="false" outlineLevel="0" collapsed="false">
      <c r="A28" s="0" t="s">
        <v>73</v>
      </c>
      <c r="B28" s="0" t="n">
        <f aca="false">COUNTIFS(Log!$G$2:$G$501,$A28,Log!$O$2:$O$501,"&lt;&gt;Example")</f>
        <v>0</v>
      </c>
      <c r="C28" s="0" t="n">
        <f aca="false">COUNTIFS(Log!$G$2:$G$501,$A28,Log!$O$2:$O$501,"&lt;&gt;Example",Log!$U$2:$U$501,"&gt;0")</f>
        <v>0</v>
      </c>
      <c r="D28" s="17" t="str">
        <f aca="false">IFERROR(C28/B28,"-")</f>
        <v>-</v>
      </c>
      <c r="E28" s="18" t="n">
        <f aca="false">COUNTIFS(Log!$G$2:$G$501,$A28,Log!$O$2:$O$501,"&lt;&gt;Example",Log!$V$2:$V$501,"&gt;0")</f>
        <v>0</v>
      </c>
      <c r="F28" s="17" t="str">
        <f aca="false">IFERROR(E28/B28,"-")</f>
        <v>-</v>
      </c>
      <c r="G28" s="19" t="str">
        <f aca="false">IFERROR(AVERAGEIFS(Log!$T$2:$T$501,Log!$G$2:$G$501,$A28,Log!$O$2:$O$501,"&lt;&gt;Example"),"-")</f>
        <v>-</v>
      </c>
    </row>
    <row r="29" customFormat="false" ht="15" hidden="false" customHeight="false" outlineLevel="0" collapsed="false">
      <c r="A29" s="12" t="s">
        <v>105</v>
      </c>
    </row>
    <row r="31" customFormat="false" ht="15" hidden="false" customHeight="false" outlineLevel="0" collapsed="false">
      <c r="A31" s="3" t="s">
        <v>106</v>
      </c>
    </row>
    <row r="32" customFormat="false" ht="15" hidden="false" customHeight="false" outlineLevel="0" collapsed="false">
      <c r="A32" s="13" t="s">
        <v>40</v>
      </c>
      <c r="B32" s="14" t="s">
        <v>83</v>
      </c>
      <c r="C32" s="14" t="s">
        <v>84</v>
      </c>
      <c r="D32" s="14" t="s">
        <v>85</v>
      </c>
      <c r="E32" s="14" t="s">
        <v>86</v>
      </c>
      <c r="F32" s="14" t="s">
        <v>87</v>
      </c>
      <c r="G32" s="14" t="s">
        <v>88</v>
      </c>
    </row>
    <row r="33" customFormat="false" ht="15" hidden="false" customHeight="false" outlineLevel="0" collapsed="false">
      <c r="A33" s="0" t="s">
        <v>57</v>
      </c>
      <c r="B33" s="0" t="n">
        <f aca="false">COUNTIFS(Log!$H$2:$H$501,$A33,Log!$O$2:$O$501,B$32)</f>
        <v>0</v>
      </c>
      <c r="C33" s="0" t="n">
        <f aca="false">COUNTIFS(Log!$H$2:$H$501,$A33,Log!$O$2:$O$501,C$32)</f>
        <v>0</v>
      </c>
      <c r="D33" s="0" t="n">
        <f aca="false">COUNTIFS(Log!$H$2:$H$501,$A33,Log!$O$2:$O$501,D$32)</f>
        <v>0</v>
      </c>
      <c r="E33" s="0" t="n">
        <f aca="false">COUNTIFS(Log!$H$2:$H$501,$A33,Log!$O$2:$O$501,E$32)</f>
        <v>0</v>
      </c>
      <c r="F33" s="0" t="n">
        <f aca="false">COUNTIFS(Log!$H$2:$H$501,$A33,Log!$O$2:$O$501,F$32)</f>
        <v>0</v>
      </c>
      <c r="G33" s="0" t="n">
        <f aca="false">COUNTIFS(Log!$H$2:$H$501,$A33,Log!$O$2:$O$501,G$32)</f>
        <v>0</v>
      </c>
    </row>
    <row r="34" customFormat="false" ht="15" hidden="false" customHeight="false" outlineLevel="0" collapsed="false">
      <c r="A34" s="0" t="s">
        <v>107</v>
      </c>
      <c r="B34" s="0" t="n">
        <f aca="false">COUNTIFS(Log!$H$2:$H$501,$A34,Log!$O$2:$O$501,B$32)</f>
        <v>0</v>
      </c>
      <c r="C34" s="0" t="n">
        <f aca="false">COUNTIFS(Log!$H$2:$H$501,$A34,Log!$O$2:$O$501,C$32)</f>
        <v>0</v>
      </c>
      <c r="D34" s="0" t="n">
        <f aca="false">COUNTIFS(Log!$H$2:$H$501,$A34,Log!$O$2:$O$501,D$32)</f>
        <v>0</v>
      </c>
      <c r="E34" s="0" t="n">
        <f aca="false">COUNTIFS(Log!$H$2:$H$501,$A34,Log!$O$2:$O$501,E$32)</f>
        <v>0</v>
      </c>
      <c r="F34" s="0" t="n">
        <f aca="false">COUNTIFS(Log!$H$2:$H$501,$A34,Log!$O$2:$O$501,F$32)</f>
        <v>0</v>
      </c>
      <c r="G34" s="0" t="n">
        <f aca="false">COUNTIFS(Log!$H$2:$H$501,$A34,Log!$O$2:$O$501,G$32)</f>
        <v>0</v>
      </c>
    </row>
    <row r="35" customFormat="false" ht="15" hidden="false" customHeight="false" outlineLevel="0" collapsed="false">
      <c r="A35" s="0" t="s">
        <v>74</v>
      </c>
      <c r="B35" s="0" t="n">
        <f aca="false">COUNTIFS(Log!$H$2:$H$501,$A35,Log!$O$2:$O$501,B$32)</f>
        <v>0</v>
      </c>
      <c r="C35" s="0" t="n">
        <f aca="false">COUNTIFS(Log!$H$2:$H$501,$A35,Log!$O$2:$O$501,C$32)</f>
        <v>0</v>
      </c>
      <c r="D35" s="0" t="n">
        <f aca="false">COUNTIFS(Log!$H$2:$H$501,$A35,Log!$O$2:$O$501,D$32)</f>
        <v>0</v>
      </c>
      <c r="E35" s="0" t="n">
        <f aca="false">COUNTIFS(Log!$H$2:$H$501,$A35,Log!$O$2:$O$501,E$32)</f>
        <v>0</v>
      </c>
      <c r="F35" s="0" t="n">
        <f aca="false">COUNTIFS(Log!$H$2:$H$501,$A35,Log!$O$2:$O$501,F$32)</f>
        <v>0</v>
      </c>
      <c r="G35" s="0" t="n">
        <f aca="false">COUNTIFS(Log!$H$2:$H$501,$A35,Log!$O$2:$O$501,G$32)</f>
        <v>0</v>
      </c>
    </row>
    <row r="36" customFormat="false" ht="15" hidden="false" customHeight="false" outlineLevel="0" collapsed="false">
      <c r="A36" s="0" t="s">
        <v>108</v>
      </c>
      <c r="B36" s="0" t="n">
        <f aca="false">COUNTIFS(Log!$H$2:$H$501,$A36,Log!$O$2:$O$501,B$32)</f>
        <v>0</v>
      </c>
      <c r="C36" s="0" t="n">
        <f aca="false">COUNTIFS(Log!$H$2:$H$501,$A36,Log!$O$2:$O$501,C$32)</f>
        <v>0</v>
      </c>
      <c r="D36" s="0" t="n">
        <f aca="false">COUNTIFS(Log!$H$2:$H$501,$A36,Log!$O$2:$O$501,D$32)</f>
        <v>0</v>
      </c>
      <c r="E36" s="0" t="n">
        <f aca="false">COUNTIFS(Log!$H$2:$H$501,$A36,Log!$O$2:$O$501,E$32)</f>
        <v>0</v>
      </c>
      <c r="F36" s="0" t="n">
        <f aca="false">COUNTIFS(Log!$H$2:$H$501,$A36,Log!$O$2:$O$501,F$32)</f>
        <v>0</v>
      </c>
      <c r="G36" s="0" t="n">
        <f aca="false">COUNTIFS(Log!$H$2:$H$501,$A36,Log!$O$2:$O$501,G$32)</f>
        <v>0</v>
      </c>
    </row>
    <row r="37" customFormat="false" ht="15" hidden="false" customHeight="false" outlineLevel="0" collapsed="false">
      <c r="A37" s="0" t="s">
        <v>109</v>
      </c>
      <c r="B37" s="0" t="n">
        <f aca="false">COUNTIFS(Log!$H$2:$H$501,$A37,Log!$O$2:$O$501,B$32)</f>
        <v>0</v>
      </c>
      <c r="C37" s="0" t="n">
        <f aca="false">COUNTIFS(Log!$H$2:$H$501,$A37,Log!$O$2:$O$501,C$32)</f>
        <v>0</v>
      </c>
      <c r="D37" s="0" t="n">
        <f aca="false">COUNTIFS(Log!$H$2:$H$501,$A37,Log!$O$2:$O$501,D$32)</f>
        <v>0</v>
      </c>
      <c r="E37" s="0" t="n">
        <f aca="false">COUNTIFS(Log!$H$2:$H$501,$A37,Log!$O$2:$O$501,E$32)</f>
        <v>0</v>
      </c>
      <c r="F37" s="0" t="n">
        <f aca="false">COUNTIFS(Log!$H$2:$H$501,$A37,Log!$O$2:$O$501,F$32)</f>
        <v>0</v>
      </c>
      <c r="G37" s="0" t="n">
        <f aca="false">COUNTIFS(Log!$H$2:$H$501,$A37,Log!$O$2:$O$501,G$32)</f>
        <v>0</v>
      </c>
    </row>
    <row r="38" customFormat="false" ht="15" hidden="false" customHeight="false" outlineLevel="0" collapsed="false">
      <c r="A38" s="0" t="s">
        <v>110</v>
      </c>
      <c r="B38" s="0" t="n">
        <f aca="false">COUNTIFS(Log!$H$2:$H$501,$A38,Log!$O$2:$O$501,B$32)</f>
        <v>0</v>
      </c>
      <c r="C38" s="0" t="n">
        <f aca="false">COUNTIFS(Log!$H$2:$H$501,$A38,Log!$O$2:$O$501,C$32)</f>
        <v>0</v>
      </c>
      <c r="D38" s="0" t="n">
        <f aca="false">COUNTIFS(Log!$H$2:$H$501,$A38,Log!$O$2:$O$501,D$32)</f>
        <v>0</v>
      </c>
      <c r="E38" s="0" t="n">
        <f aca="false">COUNTIFS(Log!$H$2:$H$501,$A38,Log!$O$2:$O$501,E$32)</f>
        <v>0</v>
      </c>
      <c r="F38" s="0" t="n">
        <f aca="false">COUNTIFS(Log!$H$2:$H$501,$A38,Log!$O$2:$O$501,F$32)</f>
        <v>0</v>
      </c>
      <c r="G38" s="0" t="n">
        <f aca="false">COUNTIFS(Log!$H$2:$H$501,$A38,Log!$O$2:$O$501,G$32)</f>
        <v>0</v>
      </c>
    </row>
    <row r="39" customFormat="false" ht="15" hidden="false" customHeight="false" outlineLevel="0" collapsed="false">
      <c r="A39" s="0" t="s">
        <v>111</v>
      </c>
      <c r="B39" s="0" t="n">
        <f aca="false">COUNTIFS(Log!$H$2:$H$501,$A39,Log!$O$2:$O$501,B$32)</f>
        <v>0</v>
      </c>
      <c r="C39" s="0" t="n">
        <f aca="false">COUNTIFS(Log!$H$2:$H$501,$A39,Log!$O$2:$O$501,C$32)</f>
        <v>0</v>
      </c>
      <c r="D39" s="0" t="n">
        <f aca="false">COUNTIFS(Log!$H$2:$H$501,$A39,Log!$O$2:$O$501,D$32)</f>
        <v>0</v>
      </c>
      <c r="E39" s="0" t="n">
        <f aca="false">COUNTIFS(Log!$H$2:$H$501,$A39,Log!$O$2:$O$501,E$32)</f>
        <v>0</v>
      </c>
      <c r="F39" s="0" t="n">
        <f aca="false">COUNTIFS(Log!$H$2:$H$501,$A39,Log!$O$2:$O$501,F$32)</f>
        <v>0</v>
      </c>
      <c r="G39" s="0" t="n">
        <f aca="false">COUNTIFS(Log!$H$2:$H$501,$A39,Log!$O$2:$O$501,G$32)</f>
        <v>0</v>
      </c>
    </row>
    <row r="40" customFormat="false" ht="15" hidden="false" customHeight="false" outlineLevel="0" collapsed="false">
      <c r="A40" s="0" t="s">
        <v>88</v>
      </c>
      <c r="B40" s="0" t="n">
        <f aca="false">COUNTIFS(Log!$H$2:$H$501,$A40,Log!$O$2:$O$501,B$32)</f>
        <v>0</v>
      </c>
      <c r="C40" s="0" t="n">
        <f aca="false">COUNTIFS(Log!$H$2:$H$501,$A40,Log!$O$2:$O$501,C$32)</f>
        <v>0</v>
      </c>
      <c r="D40" s="0" t="n">
        <f aca="false">COUNTIFS(Log!$H$2:$H$501,$A40,Log!$O$2:$O$501,D$32)</f>
        <v>0</v>
      </c>
      <c r="E40" s="0" t="n">
        <f aca="false">COUNTIFS(Log!$H$2:$H$501,$A40,Log!$O$2:$O$501,E$32)</f>
        <v>0</v>
      </c>
      <c r="F40" s="0" t="n">
        <f aca="false">COUNTIFS(Log!$H$2:$H$501,$A40,Log!$O$2:$O$501,F$32)</f>
        <v>0</v>
      </c>
      <c r="G40" s="0" t="n">
        <f aca="false">COUNTIFS(Log!$H$2:$H$501,$A40,Log!$O$2:$O$501,G$32)</f>
        <v>0</v>
      </c>
    </row>
    <row r="42" customFormat="false" ht="15" hidden="false" customHeight="false" outlineLevel="0" collapsed="false">
      <c r="A42" s="3" t="s">
        <v>112</v>
      </c>
    </row>
    <row r="43" customFormat="false" ht="15" hidden="false" customHeight="false" outlineLevel="0" collapsed="false">
      <c r="A43" s="13" t="s">
        <v>42</v>
      </c>
      <c r="B43" s="14" t="s">
        <v>56</v>
      </c>
      <c r="C43" s="14" t="s">
        <v>90</v>
      </c>
      <c r="D43" s="14" t="s">
        <v>65</v>
      </c>
      <c r="E43" s="14" t="s">
        <v>91</v>
      </c>
      <c r="F43" s="14" t="s">
        <v>73</v>
      </c>
    </row>
    <row r="44" customFormat="false" ht="15" hidden="false" customHeight="false" outlineLevel="0" collapsed="false">
      <c r="A44" s="0" t="s">
        <v>113</v>
      </c>
      <c r="B44" s="0" t="n">
        <f aca="false">COUNTIFS(Log!$J$2:$J$501,$A44,Log!$G$2:$G$501,B$43,Log!$O$2:$O$501,"&lt;&gt;Example")</f>
        <v>0</v>
      </c>
      <c r="C44" s="0" t="n">
        <f aca="false">COUNTIFS(Log!$J$2:$J$501,$A44,Log!$G$2:$G$501,C$43,Log!$O$2:$O$501,"&lt;&gt;Example")</f>
        <v>0</v>
      </c>
      <c r="D44" s="0" t="n">
        <f aca="false">COUNTIFS(Log!$J$2:$J$501,$A44,Log!$G$2:$G$501,D$43,Log!$O$2:$O$501,"&lt;&gt;Example")</f>
        <v>0</v>
      </c>
      <c r="E44" s="0" t="n">
        <f aca="false">COUNTIFS(Log!$J$2:$J$501,$A44,Log!$G$2:$G$501,E$43,Log!$O$2:$O$501,"&lt;&gt;Example")</f>
        <v>0</v>
      </c>
      <c r="F44" s="0" t="n">
        <f aca="false">COUNTIFS(Log!$J$2:$J$501,$A44,Log!$G$2:$G$501,F$43,Log!$O$2:$O$501,"&lt;&gt;Example")</f>
        <v>0</v>
      </c>
    </row>
    <row r="45" customFormat="false" ht="15" hidden="false" customHeight="false" outlineLevel="0" collapsed="false">
      <c r="A45" s="0" t="s">
        <v>67</v>
      </c>
      <c r="B45" s="0" t="n">
        <f aca="false">COUNTIFS(Log!$J$2:$J$501,$A45,Log!$G$2:$G$501,B$43,Log!$O$2:$O$501,"&lt;&gt;Example")</f>
        <v>0</v>
      </c>
      <c r="C45" s="0" t="n">
        <f aca="false">COUNTIFS(Log!$J$2:$J$501,$A45,Log!$G$2:$G$501,C$43,Log!$O$2:$O$501,"&lt;&gt;Example")</f>
        <v>0</v>
      </c>
      <c r="D45" s="0" t="n">
        <f aca="false">COUNTIFS(Log!$J$2:$J$501,$A45,Log!$G$2:$G$501,D$43,Log!$O$2:$O$501,"&lt;&gt;Example")</f>
        <v>0</v>
      </c>
      <c r="E45" s="0" t="n">
        <f aca="false">COUNTIFS(Log!$J$2:$J$501,$A45,Log!$G$2:$G$501,E$43,Log!$O$2:$O$501,"&lt;&gt;Example")</f>
        <v>0</v>
      </c>
      <c r="F45" s="0" t="n">
        <f aca="false">COUNTIFS(Log!$J$2:$J$501,$A45,Log!$G$2:$G$501,F$43,Log!$O$2:$O$501,"&lt;&gt;Example")</f>
        <v>0</v>
      </c>
    </row>
    <row r="46" customFormat="false" ht="15" hidden="false" customHeight="false" outlineLevel="0" collapsed="false">
      <c r="A46" s="0" t="s">
        <v>76</v>
      </c>
      <c r="B46" s="0" t="n">
        <f aca="false">COUNTIFS(Log!$J$2:$J$501,$A46,Log!$G$2:$G$501,B$43,Log!$O$2:$O$501,"&lt;&gt;Example")</f>
        <v>0</v>
      </c>
      <c r="C46" s="0" t="n">
        <f aca="false">COUNTIFS(Log!$J$2:$J$501,$A46,Log!$G$2:$G$501,C$43,Log!$O$2:$O$501,"&lt;&gt;Example")</f>
        <v>0</v>
      </c>
      <c r="D46" s="0" t="n">
        <f aca="false">COUNTIFS(Log!$J$2:$J$501,$A46,Log!$G$2:$G$501,D$43,Log!$O$2:$O$501,"&lt;&gt;Example")</f>
        <v>0</v>
      </c>
      <c r="E46" s="0" t="n">
        <f aca="false">COUNTIFS(Log!$J$2:$J$501,$A46,Log!$G$2:$G$501,E$43,Log!$O$2:$O$501,"&lt;&gt;Example")</f>
        <v>0</v>
      </c>
      <c r="F46" s="0" t="n">
        <f aca="false">COUNTIFS(Log!$J$2:$J$501,$A46,Log!$G$2:$G$501,F$43,Log!$O$2:$O$501,"&lt;&gt;Example")</f>
        <v>0</v>
      </c>
    </row>
    <row r="47" customFormat="false" ht="15" hidden="false" customHeight="false" outlineLevel="0" collapsed="false">
      <c r="A47" s="0" t="s">
        <v>114</v>
      </c>
      <c r="B47" s="0" t="n">
        <f aca="false">COUNTIFS(Log!$J$2:$J$501,$A47,Log!$G$2:$G$501,B$43,Log!$O$2:$O$501,"&lt;&gt;Example")</f>
        <v>0</v>
      </c>
      <c r="C47" s="0" t="n">
        <f aca="false">COUNTIFS(Log!$J$2:$J$501,$A47,Log!$G$2:$G$501,C$43,Log!$O$2:$O$501,"&lt;&gt;Example")</f>
        <v>0</v>
      </c>
      <c r="D47" s="0" t="n">
        <f aca="false">COUNTIFS(Log!$J$2:$J$501,$A47,Log!$G$2:$G$501,D$43,Log!$O$2:$O$501,"&lt;&gt;Example")</f>
        <v>0</v>
      </c>
      <c r="E47" s="0" t="n">
        <f aca="false">COUNTIFS(Log!$J$2:$J$501,$A47,Log!$G$2:$G$501,E$43,Log!$O$2:$O$501,"&lt;&gt;Example")</f>
        <v>0</v>
      </c>
      <c r="F47" s="0" t="n">
        <f aca="false">COUNTIFS(Log!$J$2:$J$501,$A47,Log!$G$2:$G$501,F$43,Log!$O$2:$O$501,"&lt;&gt;Example")</f>
        <v>0</v>
      </c>
    </row>
    <row r="48" customFormat="false" ht="15" hidden="false" customHeight="false" outlineLevel="0" collapsed="false">
      <c r="A48" s="0" t="s">
        <v>59</v>
      </c>
      <c r="B48" s="0" t="n">
        <f aca="false">COUNTIFS(Log!$J$2:$J$501,$A48,Log!$G$2:$G$501,B$43,Log!$O$2:$O$501,"&lt;&gt;Example")</f>
        <v>0</v>
      </c>
      <c r="C48" s="0" t="n">
        <f aca="false">COUNTIFS(Log!$J$2:$J$501,$A48,Log!$G$2:$G$501,C$43,Log!$O$2:$O$501,"&lt;&gt;Example")</f>
        <v>0</v>
      </c>
      <c r="D48" s="0" t="n">
        <f aca="false">COUNTIFS(Log!$J$2:$J$501,$A48,Log!$G$2:$G$501,D$43,Log!$O$2:$O$501,"&lt;&gt;Example")</f>
        <v>0</v>
      </c>
      <c r="E48" s="0" t="n">
        <f aca="false">COUNTIFS(Log!$J$2:$J$501,$A48,Log!$G$2:$G$501,E$43,Log!$O$2:$O$501,"&lt;&gt;Example")</f>
        <v>0</v>
      </c>
      <c r="F48" s="0" t="n">
        <f aca="false">COUNTIFS(Log!$J$2:$J$501,$A48,Log!$G$2:$G$501,F$43,Log!$O$2:$O$501,"&lt;&gt;Example")</f>
        <v>0</v>
      </c>
    </row>
    <row r="49" customFormat="false" ht="15" hidden="false" customHeight="false" outlineLevel="0" collapsed="false">
      <c r="A49" s="0" t="s">
        <v>115</v>
      </c>
      <c r="B49" s="0" t="n">
        <f aca="false">COUNTIFS(Log!$J$2:$J$501,$A49,Log!$G$2:$G$501,B$43,Log!$O$2:$O$501,"&lt;&gt;Example")</f>
        <v>0</v>
      </c>
      <c r="C49" s="0" t="n">
        <f aca="false">COUNTIFS(Log!$J$2:$J$501,$A49,Log!$G$2:$G$501,C$43,Log!$O$2:$O$501,"&lt;&gt;Example")</f>
        <v>0</v>
      </c>
      <c r="D49" s="0" t="n">
        <f aca="false">COUNTIFS(Log!$J$2:$J$501,$A49,Log!$G$2:$G$501,D$43,Log!$O$2:$O$501,"&lt;&gt;Example")</f>
        <v>0</v>
      </c>
      <c r="E49" s="0" t="n">
        <f aca="false">COUNTIFS(Log!$J$2:$J$501,$A49,Log!$G$2:$G$501,E$43,Log!$O$2:$O$501,"&lt;&gt;Example")</f>
        <v>0</v>
      </c>
      <c r="F49" s="0" t="n">
        <f aca="false">COUNTIFS(Log!$J$2:$J$501,$A49,Log!$G$2:$G$501,F$43,Log!$O$2:$O$501,"&lt;&gt;Example")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26"/>
    <col collapsed="false" customWidth="true" hidden="false" outlineLevel="0" max="4" min="4" style="0" width="7"/>
    <col collapsed="false" customWidth="true" hidden="false" outlineLevel="0" max="5" min="5" style="0" width="14"/>
    <col collapsed="false" customWidth="true" hidden="false" outlineLevel="0" max="6" min="6" style="0" width="7"/>
    <col collapsed="false" customWidth="true" hidden="false" outlineLevel="0" max="7" min="7" style="0" width="18"/>
    <col collapsed="false" customWidth="true" hidden="false" outlineLevel="0" max="8" min="8" style="0" width="13"/>
    <col collapsed="false" customWidth="true" hidden="false" outlineLevel="0" max="9" min="9" style="0" width="30"/>
    <col collapsed="false" customWidth="true" hidden="false" outlineLevel="0" max="10" min="10" style="0" width="60"/>
  </cols>
  <sheetData>
    <row r="1" customFormat="false" ht="15" hidden="false" customHeight="false" outlineLevel="0" collapsed="false">
      <c r="A1" s="20" t="s">
        <v>116</v>
      </c>
      <c r="B1" s="20" t="s">
        <v>117</v>
      </c>
      <c r="C1" s="20" t="s">
        <v>118</v>
      </c>
      <c r="D1" s="20" t="s">
        <v>119</v>
      </c>
      <c r="E1" s="20" t="s">
        <v>47</v>
      </c>
      <c r="F1" s="20" t="s">
        <v>48</v>
      </c>
      <c r="G1" s="20" t="s">
        <v>120</v>
      </c>
      <c r="H1" s="20" t="s">
        <v>51</v>
      </c>
      <c r="I1" s="20" t="s">
        <v>121</v>
      </c>
      <c r="J1" s="20" t="s">
        <v>122</v>
      </c>
    </row>
    <row r="2" customFormat="false" ht="15" hidden="false" customHeight="false" outlineLevel="0" collapsed="false">
      <c r="A2" s="6" t="s">
        <v>54</v>
      </c>
      <c r="B2" s="6" t="s">
        <v>123</v>
      </c>
      <c r="C2" s="6" t="s">
        <v>124</v>
      </c>
      <c r="D2" s="6"/>
      <c r="E2" s="6" t="s">
        <v>123</v>
      </c>
      <c r="F2" s="6" t="n">
        <v>138</v>
      </c>
      <c r="G2" s="6" t="n">
        <v>0.5</v>
      </c>
      <c r="H2" s="6" t="n">
        <v>184</v>
      </c>
      <c r="I2" s="6"/>
      <c r="J2" s="6" t="s">
        <v>125</v>
      </c>
    </row>
    <row r="3" customFormat="false" ht="15" hidden="false" customHeight="false" outlineLevel="0" collapsed="false">
      <c r="A3" s="2" t="s">
        <v>126</v>
      </c>
      <c r="B3" s="2" t="s">
        <v>127</v>
      </c>
      <c r="C3" s="2" t="s">
        <v>128</v>
      </c>
      <c r="D3" s="2" t="n">
        <v>1999</v>
      </c>
      <c r="E3" s="2" t="s">
        <v>84</v>
      </c>
      <c r="F3" s="2"/>
      <c r="G3" s="2"/>
      <c r="H3" s="2"/>
      <c r="I3" s="2"/>
      <c r="J3" s="2" t="s">
        <v>129</v>
      </c>
    </row>
    <row r="4" customFormat="false" ht="15" hidden="false" customHeight="false" outlineLevel="0" collapsed="false">
      <c r="A4" s="2" t="s">
        <v>130</v>
      </c>
      <c r="B4" s="2" t="s">
        <v>131</v>
      </c>
      <c r="C4" s="2" t="s">
        <v>132</v>
      </c>
      <c r="D4" s="2" t="n">
        <v>1996</v>
      </c>
      <c r="E4" s="2" t="s">
        <v>83</v>
      </c>
      <c r="F4" s="2"/>
      <c r="G4" s="2"/>
      <c r="H4" s="2"/>
      <c r="I4" s="2" t="s">
        <v>133</v>
      </c>
      <c r="J4" s="2" t="s">
        <v>129</v>
      </c>
    </row>
    <row r="5" customFormat="false" ht="15" hidden="false" customHeight="false" outlineLevel="0" collapsed="false">
      <c r="A5" s="2" t="s">
        <v>134</v>
      </c>
      <c r="B5" s="2" t="s">
        <v>135</v>
      </c>
      <c r="C5" s="2" t="s">
        <v>136</v>
      </c>
      <c r="D5" s="2" t="n">
        <v>1997</v>
      </c>
      <c r="E5" s="2" t="s">
        <v>84</v>
      </c>
      <c r="F5" s="2"/>
      <c r="G5" s="2"/>
      <c r="H5" s="2"/>
      <c r="I5" s="2" t="s">
        <v>137</v>
      </c>
      <c r="J5" s="2" t="s">
        <v>138</v>
      </c>
    </row>
    <row r="6" customFormat="false" ht="15" hidden="false" customHeight="false" outlineLevel="0" collapsed="false">
      <c r="A6" s="2" t="s">
        <v>139</v>
      </c>
      <c r="B6" s="2" t="s">
        <v>140</v>
      </c>
      <c r="C6" s="2" t="s">
        <v>141</v>
      </c>
      <c r="D6" s="2" t="n">
        <v>2022</v>
      </c>
      <c r="E6" s="2" t="s">
        <v>86</v>
      </c>
      <c r="F6" s="2" t="n">
        <v>153</v>
      </c>
      <c r="G6" s="2"/>
      <c r="H6" s="2"/>
      <c r="I6" s="2" t="s">
        <v>142</v>
      </c>
      <c r="J6" s="2" t="s">
        <v>143</v>
      </c>
    </row>
    <row r="7" customFormat="false" ht="15" hidden="false" customHeight="false" outlineLevel="0" collapsed="false">
      <c r="A7" s="2" t="s">
        <v>144</v>
      </c>
      <c r="B7" s="2" t="s">
        <v>145</v>
      </c>
      <c r="C7" s="2" t="s">
        <v>146</v>
      </c>
      <c r="D7" s="2" t="n">
        <v>1998</v>
      </c>
      <c r="E7" s="2" t="s">
        <v>88</v>
      </c>
      <c r="F7" s="2" t="n">
        <v>143</v>
      </c>
      <c r="G7" s="2"/>
      <c r="H7" s="2" t="n">
        <v>547</v>
      </c>
      <c r="I7" s="2" t="s">
        <v>147</v>
      </c>
      <c r="J7" s="2" t="s">
        <v>148</v>
      </c>
    </row>
    <row r="8" customFormat="false" ht="15" hidden="false" customHeight="false" outlineLevel="0" collapsed="false">
      <c r="A8" s="2" t="s">
        <v>149</v>
      </c>
      <c r="B8" s="2"/>
      <c r="C8" s="2"/>
      <c r="D8" s="2"/>
      <c r="E8" s="2"/>
      <c r="F8" s="2"/>
      <c r="G8" s="2"/>
      <c r="H8" s="2"/>
      <c r="I8" s="2"/>
      <c r="J8" s="2"/>
    </row>
    <row r="9" customFormat="false" ht="15" hidden="false" customHeight="false" outlineLevel="0" collapsed="false">
      <c r="A9" s="2" t="s">
        <v>150</v>
      </c>
      <c r="B9" s="2"/>
      <c r="C9" s="2"/>
      <c r="D9" s="2"/>
      <c r="E9" s="2"/>
      <c r="F9" s="2"/>
      <c r="G9" s="2"/>
      <c r="H9" s="2"/>
      <c r="I9" s="2"/>
      <c r="J9" s="2"/>
    </row>
    <row r="10" customFormat="false" ht="15" hidden="false" customHeight="false" outlineLevel="0" collapsed="false">
      <c r="A10" s="2" t="s">
        <v>151</v>
      </c>
      <c r="B10" s="2"/>
      <c r="C10" s="2"/>
      <c r="D10" s="2"/>
      <c r="E10" s="2"/>
      <c r="F10" s="2"/>
      <c r="G10" s="2"/>
      <c r="H10" s="2"/>
      <c r="I10" s="2"/>
      <c r="J10" s="2"/>
    </row>
    <row r="11" customFormat="false" ht="15" hidden="false" customHeight="false" outlineLevel="0" collapsed="false">
      <c r="A11" s="2" t="s">
        <v>152</v>
      </c>
      <c r="B11" s="2"/>
      <c r="C11" s="2"/>
      <c r="D11" s="2"/>
      <c r="E11" s="2"/>
      <c r="F11" s="2"/>
      <c r="G11" s="2"/>
      <c r="H11" s="2"/>
      <c r="I11" s="2"/>
      <c r="J11" s="2"/>
    </row>
    <row r="12" customFormat="false" ht="15" hidden="false" customHeight="false" outlineLevel="0" collapsed="false">
      <c r="A12" s="2" t="s">
        <v>153</v>
      </c>
      <c r="B12" s="2"/>
      <c r="C12" s="2"/>
      <c r="D12" s="2"/>
      <c r="E12" s="2"/>
      <c r="F12" s="2"/>
      <c r="G12" s="2"/>
      <c r="H12" s="2"/>
      <c r="I12" s="2"/>
      <c r="J12" s="2"/>
    </row>
    <row r="13" customFormat="false" ht="15" hidden="false" customHeight="false" outlineLevel="0" collapsed="false">
      <c r="A13" s="2" t="s">
        <v>154</v>
      </c>
      <c r="B13" s="2"/>
      <c r="C13" s="2"/>
      <c r="D13" s="2"/>
      <c r="E13" s="2"/>
      <c r="F13" s="2"/>
      <c r="G13" s="2"/>
      <c r="H13" s="2"/>
      <c r="I13" s="2"/>
      <c r="J13" s="2"/>
    </row>
    <row r="14" customFormat="false" ht="15" hidden="false" customHeight="false" outlineLevel="0" collapsed="false">
      <c r="A14" s="2" t="s">
        <v>155</v>
      </c>
      <c r="B14" s="2"/>
      <c r="C14" s="2"/>
      <c r="D14" s="2"/>
      <c r="E14" s="2"/>
      <c r="F14" s="2"/>
      <c r="G14" s="2"/>
      <c r="H14" s="2"/>
      <c r="I14" s="2"/>
      <c r="J14" s="2"/>
    </row>
    <row r="15" customFormat="false" ht="15" hidden="false" customHeight="false" outlineLevel="0" collapsed="false">
      <c r="A15" s="2" t="s">
        <v>156</v>
      </c>
      <c r="B15" s="2"/>
      <c r="C15" s="2"/>
      <c r="D15" s="2"/>
      <c r="E15" s="2"/>
      <c r="F15" s="2"/>
      <c r="G15" s="2"/>
      <c r="H15" s="2"/>
      <c r="I15" s="2"/>
      <c r="J15" s="2"/>
    </row>
    <row r="16" customFormat="false" ht="15" hidden="false" customHeight="false" outlineLevel="0" collapsed="false">
      <c r="A16" s="2" t="s">
        <v>157</v>
      </c>
      <c r="B16" s="2"/>
      <c r="C16" s="2"/>
      <c r="D16" s="2"/>
      <c r="E16" s="2"/>
      <c r="F16" s="2"/>
      <c r="G16" s="2"/>
      <c r="H16" s="2"/>
      <c r="I16" s="2"/>
      <c r="J16" s="2"/>
    </row>
    <row r="17" customFormat="false" ht="15" hidden="false" customHeight="false" outlineLevel="0" collapsed="false">
      <c r="A17" s="2" t="s">
        <v>158</v>
      </c>
      <c r="B17" s="2"/>
      <c r="C17" s="2"/>
      <c r="D17" s="2"/>
      <c r="E17" s="2"/>
      <c r="F17" s="2"/>
      <c r="G17" s="2"/>
      <c r="H17" s="2"/>
      <c r="I17" s="2"/>
      <c r="J17" s="2"/>
    </row>
    <row r="18" customFormat="false" ht="15" hidden="false" customHeight="false" outlineLevel="0" collapsed="false">
      <c r="A18" s="2" t="s">
        <v>159</v>
      </c>
      <c r="B18" s="2"/>
      <c r="C18" s="2"/>
      <c r="D18" s="2"/>
      <c r="E18" s="2"/>
      <c r="F18" s="2"/>
      <c r="G18" s="2"/>
      <c r="H18" s="2"/>
      <c r="I18" s="2"/>
      <c r="J18" s="2"/>
    </row>
    <row r="19" customFormat="false" ht="15" hidden="false" customHeight="false" outlineLevel="0" collapsed="false">
      <c r="A19" s="2" t="s">
        <v>160</v>
      </c>
      <c r="B19" s="2"/>
      <c r="C19" s="2"/>
      <c r="D19" s="2"/>
      <c r="E19" s="2"/>
      <c r="F19" s="2"/>
      <c r="G19" s="2"/>
      <c r="H19" s="2"/>
      <c r="I19" s="2"/>
      <c r="J19" s="2"/>
    </row>
    <row r="20" customFormat="false" ht="15" hidden="false" customHeight="false" outlineLevel="0" collapsed="false">
      <c r="A20" s="2" t="s">
        <v>161</v>
      </c>
      <c r="B20" s="2"/>
      <c r="C20" s="2"/>
      <c r="D20" s="2"/>
      <c r="E20" s="2"/>
      <c r="F20" s="2"/>
      <c r="G20" s="2"/>
      <c r="H20" s="2"/>
      <c r="I20" s="2"/>
      <c r="J20" s="2"/>
    </row>
    <row r="21" customFormat="false" ht="15" hidden="false" customHeight="false" outlineLevel="0" collapsed="false">
      <c r="A21" s="2" t="s">
        <v>162</v>
      </c>
      <c r="B21" s="2"/>
      <c r="C21" s="2"/>
      <c r="D21" s="2"/>
      <c r="E21" s="2"/>
      <c r="F21" s="2"/>
      <c r="G21" s="2"/>
      <c r="H21" s="2"/>
      <c r="I21" s="2"/>
      <c r="J21" s="2"/>
    </row>
    <row r="22" customFormat="false" ht="15" hidden="false" customHeight="false" outlineLevel="0" collapsed="false">
      <c r="A22" s="2" t="s">
        <v>163</v>
      </c>
      <c r="B22" s="2"/>
      <c r="C22" s="2"/>
      <c r="D22" s="2"/>
      <c r="E22" s="2"/>
      <c r="F22" s="2"/>
      <c r="G22" s="2"/>
      <c r="H22" s="2"/>
      <c r="I22" s="2"/>
      <c r="J22" s="2"/>
    </row>
    <row r="23" customFormat="false" ht="15" hidden="false" customHeight="false" outlineLevel="0" collapsed="false">
      <c r="A23" s="2" t="s">
        <v>164</v>
      </c>
      <c r="B23" s="2"/>
      <c r="C23" s="2"/>
      <c r="D23" s="2"/>
      <c r="E23" s="2"/>
      <c r="F23" s="2"/>
      <c r="G23" s="2"/>
      <c r="H23" s="2"/>
      <c r="I23" s="2"/>
      <c r="J23" s="2"/>
    </row>
    <row r="24" customFormat="false" ht="15" hidden="false" customHeight="false" outlineLevel="0" collapsed="false">
      <c r="A24" s="2" t="s">
        <v>165</v>
      </c>
      <c r="B24" s="2"/>
      <c r="C24" s="2"/>
      <c r="D24" s="2"/>
      <c r="E24" s="2"/>
      <c r="F24" s="2"/>
      <c r="G24" s="2"/>
      <c r="H24" s="2"/>
      <c r="I24" s="2"/>
      <c r="J24" s="2"/>
    </row>
    <row r="25" customFormat="false" ht="15" hidden="false" customHeight="false" outlineLevel="0" collapsed="false">
      <c r="A25" s="2" t="s">
        <v>166</v>
      </c>
      <c r="B25" s="2"/>
      <c r="C25" s="2"/>
      <c r="D25" s="2"/>
      <c r="E25" s="2"/>
      <c r="F25" s="2"/>
      <c r="G25" s="2"/>
      <c r="H25" s="2"/>
      <c r="I25" s="2"/>
      <c r="J25" s="2"/>
    </row>
    <row r="26" customFormat="false" ht="15" hidden="false" customHeight="false" outlineLevel="0" collapsed="false">
      <c r="A26" s="2" t="s">
        <v>167</v>
      </c>
      <c r="B26" s="2"/>
      <c r="C26" s="2"/>
      <c r="D26" s="2"/>
      <c r="E26" s="2"/>
      <c r="F26" s="2"/>
      <c r="G26" s="2"/>
      <c r="H26" s="2"/>
      <c r="I26" s="2"/>
      <c r="J26" s="2"/>
    </row>
    <row r="27" customFormat="false" ht="15" hidden="false" customHeight="false" outlineLevel="0" collapsed="false">
      <c r="A27" s="2" t="s">
        <v>168</v>
      </c>
      <c r="B27" s="2"/>
      <c r="C27" s="2"/>
      <c r="D27" s="2"/>
      <c r="E27" s="2"/>
      <c r="F27" s="2"/>
      <c r="G27" s="2"/>
      <c r="H27" s="2"/>
      <c r="I27" s="2"/>
      <c r="J27" s="2"/>
    </row>
    <row r="28" customFormat="false" ht="15" hidden="false" customHeight="false" outlineLevel="0" collapsed="false">
      <c r="A28" s="2" t="s">
        <v>169</v>
      </c>
      <c r="B28" s="2"/>
      <c r="C28" s="2"/>
      <c r="D28" s="2"/>
      <c r="E28" s="2"/>
      <c r="F28" s="2"/>
      <c r="G28" s="2"/>
      <c r="H28" s="2"/>
      <c r="I28" s="2"/>
      <c r="J28" s="2"/>
    </row>
    <row r="29" customFormat="false" ht="15" hidden="false" customHeight="false" outlineLevel="0" collapsed="false">
      <c r="A29" s="2" t="s">
        <v>170</v>
      </c>
      <c r="B29" s="2"/>
      <c r="C29" s="2"/>
      <c r="D29" s="2"/>
      <c r="E29" s="2"/>
      <c r="F29" s="2"/>
      <c r="G29" s="2"/>
      <c r="H29" s="2"/>
      <c r="I29" s="2"/>
      <c r="J29" s="2"/>
    </row>
    <row r="30" customFormat="false" ht="15" hidden="false" customHeight="false" outlineLevel="0" collapsed="false">
      <c r="A30" s="2" t="s">
        <v>171</v>
      </c>
      <c r="B30" s="2"/>
      <c r="C30" s="2"/>
      <c r="D30" s="2"/>
      <c r="E30" s="2"/>
      <c r="F30" s="2"/>
      <c r="G30" s="2"/>
      <c r="H30" s="2"/>
      <c r="I30" s="2"/>
      <c r="J30" s="2"/>
    </row>
    <row r="31" customFormat="false" ht="15" hidden="false" customHeight="false" outlineLevel="0" collapsed="false">
      <c r="A31" s="2" t="s">
        <v>172</v>
      </c>
      <c r="B31" s="2"/>
      <c r="C31" s="2"/>
      <c r="D31" s="2"/>
      <c r="E31" s="2"/>
      <c r="F31" s="2"/>
      <c r="G31" s="2"/>
      <c r="H31" s="2"/>
      <c r="I31" s="2"/>
      <c r="J31" s="2"/>
    </row>
    <row r="32" customFormat="false" ht="15" hidden="false" customHeight="false" outlineLevel="0" collapsed="false">
      <c r="A32" s="2" t="s">
        <v>173</v>
      </c>
      <c r="B32" s="2"/>
      <c r="C32" s="2"/>
      <c r="D32" s="2"/>
      <c r="E32" s="2"/>
      <c r="F32" s="2"/>
      <c r="G32" s="2"/>
      <c r="H32" s="2"/>
      <c r="I32" s="2"/>
      <c r="J32" s="2"/>
    </row>
    <row r="33" customFormat="false" ht="15" hidden="false" customHeight="false" outlineLevel="0" collapsed="false">
      <c r="A33" s="2" t="s">
        <v>174</v>
      </c>
      <c r="B33" s="2"/>
      <c r="C33" s="2"/>
      <c r="D33" s="2"/>
      <c r="E33" s="2"/>
      <c r="F33" s="2"/>
      <c r="G33" s="2"/>
      <c r="H33" s="2"/>
      <c r="I33" s="2"/>
      <c r="J33" s="2"/>
    </row>
    <row r="34" customFormat="false" ht="15" hidden="false" customHeight="false" outlineLevel="0" collapsed="false">
      <c r="A34" s="2" t="s">
        <v>175</v>
      </c>
      <c r="B34" s="2"/>
      <c r="C34" s="2"/>
      <c r="D34" s="2"/>
      <c r="E34" s="2"/>
      <c r="F34" s="2"/>
      <c r="G34" s="2"/>
      <c r="H34" s="2"/>
      <c r="I34" s="2"/>
      <c r="J34" s="2"/>
    </row>
    <row r="35" customFormat="false" ht="15" hidden="false" customHeight="false" outlineLevel="0" collapsed="false">
      <c r="A35" s="2" t="s">
        <v>176</v>
      </c>
      <c r="B35" s="2"/>
      <c r="C35" s="2"/>
      <c r="D35" s="2"/>
      <c r="E35" s="2"/>
      <c r="F35" s="2"/>
      <c r="G35" s="2"/>
      <c r="H35" s="2"/>
      <c r="I35" s="2"/>
      <c r="J35" s="2"/>
    </row>
    <row r="36" customFormat="false" ht="15" hidden="false" customHeight="false" outlineLevel="0" collapsed="false">
      <c r="A36" s="2" t="s">
        <v>177</v>
      </c>
      <c r="B36" s="2"/>
      <c r="C36" s="2"/>
      <c r="D36" s="2"/>
      <c r="E36" s="2"/>
      <c r="F36" s="2"/>
      <c r="G36" s="2"/>
      <c r="H36" s="2"/>
      <c r="I36" s="2"/>
      <c r="J36" s="2"/>
    </row>
    <row r="37" customFormat="false" ht="15" hidden="false" customHeight="false" outlineLevel="0" collapsed="false">
      <c r="A37" s="2" t="s">
        <v>178</v>
      </c>
      <c r="B37" s="2"/>
      <c r="C37" s="2"/>
      <c r="D37" s="2"/>
      <c r="E37" s="2"/>
      <c r="F37" s="2"/>
      <c r="G37" s="2"/>
      <c r="H37" s="2"/>
      <c r="I37" s="2"/>
      <c r="J37" s="2"/>
    </row>
    <row r="38" customFormat="false" ht="15" hidden="false" customHeight="false" outlineLevel="0" collapsed="false">
      <c r="A38" s="2" t="s">
        <v>179</v>
      </c>
      <c r="B38" s="2"/>
      <c r="C38" s="2"/>
      <c r="D38" s="2"/>
      <c r="E38" s="2"/>
      <c r="F38" s="2"/>
      <c r="G38" s="2"/>
      <c r="H38" s="2"/>
      <c r="I38" s="2"/>
      <c r="J38" s="2"/>
    </row>
    <row r="39" customFormat="false" ht="15" hidden="false" customHeight="false" outlineLevel="0" collapsed="false">
      <c r="A39" s="2" t="s">
        <v>180</v>
      </c>
      <c r="B39" s="2"/>
      <c r="C39" s="2"/>
      <c r="D39" s="2"/>
      <c r="E39" s="2"/>
      <c r="F39" s="2"/>
      <c r="G39" s="2"/>
      <c r="H39" s="2"/>
      <c r="I39" s="2"/>
      <c r="J39" s="2"/>
    </row>
    <row r="40" customFormat="false" ht="15" hidden="false" customHeight="false" outlineLevel="0" collapsed="false">
      <c r="A40" s="2" t="s">
        <v>181</v>
      </c>
      <c r="B40" s="2"/>
      <c r="C40" s="2"/>
      <c r="D40" s="2"/>
      <c r="E40" s="2"/>
      <c r="F40" s="2"/>
      <c r="G40" s="2"/>
      <c r="H40" s="2"/>
      <c r="I40" s="2"/>
      <c r="J40" s="2"/>
    </row>
    <row r="41" customFormat="false" ht="15" hidden="false" customHeight="false" outlineLevel="0" collapsed="false">
      <c r="A41" s="2" t="s">
        <v>182</v>
      </c>
      <c r="B41" s="2"/>
      <c r="C41" s="2"/>
      <c r="D41" s="2"/>
      <c r="E41" s="2"/>
      <c r="F41" s="2"/>
      <c r="G41" s="2"/>
      <c r="H41" s="2"/>
      <c r="I41" s="2"/>
      <c r="J41" s="2"/>
    </row>
  </sheetData>
  <dataValidations count="1">
    <dataValidation allowBlank="true" error="Pick a value from the list (see the Lists sheet)." errorStyle="stop" errorTitle="Not in the list" operator="between" showDropDown="false" showErrorMessage="false" showInputMessage="false" sqref="E2:E41" type="list">
      <formula1>Lists!$A$2:$A$8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40"/>
  </cols>
  <sheetData>
    <row r="1" customFormat="false" ht="15" hidden="false" customHeight="false" outlineLevel="0" collapsed="false">
      <c r="A1" s="20" t="s">
        <v>33</v>
      </c>
      <c r="B1" s="20" t="s">
        <v>38</v>
      </c>
      <c r="C1" s="20" t="s">
        <v>183</v>
      </c>
      <c r="D1" s="20" t="s">
        <v>184</v>
      </c>
      <c r="E1" s="21" t="s">
        <v>185</v>
      </c>
      <c r="F1" s="20" t="s">
        <v>122</v>
      </c>
    </row>
    <row r="2" customFormat="false" ht="15" hidden="false" customHeight="false" outlineLevel="0" collapsed="false">
      <c r="A2" s="6" t="s">
        <v>54</v>
      </c>
      <c r="B2" s="6" t="s">
        <v>55</v>
      </c>
      <c r="C2" s="6" t="n">
        <v>1</v>
      </c>
      <c r="D2" s="6" t="n">
        <v>64</v>
      </c>
      <c r="E2" s="6" t="n">
        <f aca="false">IF(OR(C2="",D2=""),"",D2-C2+1)</f>
        <v>64</v>
      </c>
      <c r="F2" s="6"/>
    </row>
    <row r="3" customFormat="false" ht="15" hidden="false" customHeight="false" outlineLevel="0" collapsed="false">
      <c r="A3" s="6" t="s">
        <v>54</v>
      </c>
      <c r="B3" s="6" t="s">
        <v>95</v>
      </c>
      <c r="C3" s="6" t="n">
        <v>65</v>
      </c>
      <c r="D3" s="6" t="n">
        <v>96</v>
      </c>
      <c r="E3" s="6" t="n">
        <f aca="false">IF(OR(C3="",D3=""),"",D3-C3+1)</f>
        <v>32</v>
      </c>
      <c r="F3" s="6"/>
    </row>
    <row r="4" customFormat="false" ht="15" hidden="false" customHeight="false" outlineLevel="0" collapsed="false">
      <c r="A4" s="6" t="s">
        <v>54</v>
      </c>
      <c r="B4" s="6" t="s">
        <v>94</v>
      </c>
      <c r="C4" s="6" t="n">
        <v>97</v>
      </c>
      <c r="D4" s="6" t="n">
        <v>112</v>
      </c>
      <c r="E4" s="6" t="n">
        <f aca="false">IF(OR(C4="",D4=""),"",D4-C4+1)</f>
        <v>16</v>
      </c>
      <c r="F4" s="6"/>
    </row>
    <row r="5" customFormat="false" ht="15" hidden="false" customHeight="false" outlineLevel="0" collapsed="false">
      <c r="A5" s="6" t="s">
        <v>54</v>
      </c>
      <c r="B5" s="6" t="s">
        <v>64</v>
      </c>
      <c r="C5" s="6" t="n">
        <v>113</v>
      </c>
      <c r="D5" s="6" t="n">
        <v>120</v>
      </c>
      <c r="E5" s="6" t="n">
        <f aca="false">IF(OR(C5="",D5=""),"",D5-C5+1)</f>
        <v>8</v>
      </c>
      <c r="F5" s="6"/>
    </row>
    <row r="6" customFormat="false" ht="15" hidden="false" customHeight="false" outlineLevel="0" collapsed="false">
      <c r="A6" s="6" t="s">
        <v>54</v>
      </c>
      <c r="B6" s="6" t="s">
        <v>72</v>
      </c>
      <c r="C6" s="6" t="n">
        <v>121</v>
      </c>
      <c r="D6" s="6" t="n">
        <v>184</v>
      </c>
      <c r="E6" s="6" t="n">
        <f aca="false">IF(OR(C6="",D6=""),"",D6-C6+1)</f>
        <v>64</v>
      </c>
      <c r="F6" s="6"/>
    </row>
    <row r="7" customFormat="false" ht="15" hidden="false" customHeight="false" outlineLevel="0" collapsed="false">
      <c r="A7" s="2"/>
      <c r="B7" s="2"/>
      <c r="C7" s="2"/>
      <c r="D7" s="2"/>
      <c r="E7" s="9" t="str">
        <f aca="false">IF(OR(C7="",D7=""),"",D7-C7+1)</f>
        <v/>
      </c>
      <c r="F7" s="2"/>
    </row>
    <row r="8" customFormat="false" ht="15" hidden="false" customHeight="false" outlineLevel="0" collapsed="false">
      <c r="A8" s="2"/>
      <c r="B8" s="2"/>
      <c r="C8" s="2"/>
      <c r="D8" s="2"/>
      <c r="E8" s="9" t="str">
        <f aca="false">IF(OR(C8="",D8=""),"",D8-C8+1)</f>
        <v/>
      </c>
      <c r="F8" s="2"/>
    </row>
    <row r="9" customFormat="false" ht="15" hidden="false" customHeight="false" outlineLevel="0" collapsed="false">
      <c r="A9" s="2"/>
      <c r="B9" s="2"/>
      <c r="C9" s="2"/>
      <c r="D9" s="2"/>
      <c r="E9" s="9" t="str">
        <f aca="false">IF(OR(C9="",D9=""),"",D9-C9+1)</f>
        <v/>
      </c>
      <c r="F9" s="2"/>
    </row>
    <row r="10" customFormat="false" ht="15" hidden="false" customHeight="false" outlineLevel="0" collapsed="false">
      <c r="A10" s="2"/>
      <c r="B10" s="2"/>
      <c r="C10" s="2"/>
      <c r="D10" s="2"/>
      <c r="E10" s="9" t="str">
        <f aca="false">IF(OR(C10="",D10=""),"",D10-C10+1)</f>
        <v/>
      </c>
      <c r="F10" s="2"/>
    </row>
    <row r="11" customFormat="false" ht="15" hidden="false" customHeight="false" outlineLevel="0" collapsed="false">
      <c r="A11" s="2"/>
      <c r="B11" s="2"/>
      <c r="C11" s="2"/>
      <c r="D11" s="2"/>
      <c r="E11" s="9" t="str">
        <f aca="false">IF(OR(C11="",D11=""),"",D11-C11+1)</f>
        <v/>
      </c>
      <c r="F11" s="2"/>
    </row>
    <row r="12" customFormat="false" ht="15" hidden="false" customHeight="false" outlineLevel="0" collapsed="false">
      <c r="A12" s="2"/>
      <c r="B12" s="2"/>
      <c r="C12" s="2"/>
      <c r="D12" s="2"/>
      <c r="E12" s="9" t="str">
        <f aca="false">IF(OR(C12="",D12=""),"",D12-C12+1)</f>
        <v/>
      </c>
      <c r="F12" s="2"/>
    </row>
    <row r="13" customFormat="false" ht="15" hidden="false" customHeight="false" outlineLevel="0" collapsed="false">
      <c r="A13" s="2"/>
      <c r="B13" s="2"/>
      <c r="C13" s="2"/>
      <c r="D13" s="2"/>
      <c r="E13" s="9" t="str">
        <f aca="false">IF(OR(C13="",D13=""),"",D13-C13+1)</f>
        <v/>
      </c>
      <c r="F13" s="2"/>
    </row>
    <row r="14" customFormat="false" ht="15" hidden="false" customHeight="false" outlineLevel="0" collapsed="false">
      <c r="A14" s="2"/>
      <c r="B14" s="2"/>
      <c r="C14" s="2"/>
      <c r="D14" s="2"/>
      <c r="E14" s="9" t="str">
        <f aca="false">IF(OR(C14="",D14=""),"",D14-C14+1)</f>
        <v/>
      </c>
      <c r="F14" s="2"/>
    </row>
    <row r="15" customFormat="false" ht="15" hidden="false" customHeight="false" outlineLevel="0" collapsed="false">
      <c r="A15" s="2"/>
      <c r="B15" s="2"/>
      <c r="C15" s="2"/>
      <c r="D15" s="2"/>
      <c r="E15" s="9" t="str">
        <f aca="false">IF(OR(C15="",D15=""),"",D15-C15+1)</f>
        <v/>
      </c>
      <c r="F15" s="2"/>
    </row>
    <row r="16" customFormat="false" ht="15" hidden="false" customHeight="false" outlineLevel="0" collapsed="false">
      <c r="A16" s="2"/>
      <c r="B16" s="2"/>
      <c r="C16" s="2"/>
      <c r="D16" s="2"/>
      <c r="E16" s="9" t="str">
        <f aca="false">IF(OR(C16="",D16=""),"",D16-C16+1)</f>
        <v/>
      </c>
      <c r="F16" s="2"/>
    </row>
    <row r="17" customFormat="false" ht="15" hidden="false" customHeight="false" outlineLevel="0" collapsed="false">
      <c r="A17" s="2"/>
      <c r="B17" s="2"/>
      <c r="C17" s="2"/>
      <c r="D17" s="2"/>
      <c r="E17" s="9" t="str">
        <f aca="false">IF(OR(C17="",D17=""),"",D17-C17+1)</f>
        <v/>
      </c>
      <c r="F17" s="2"/>
    </row>
    <row r="18" customFormat="false" ht="15" hidden="false" customHeight="false" outlineLevel="0" collapsed="false">
      <c r="A18" s="2"/>
      <c r="B18" s="2"/>
      <c r="C18" s="2"/>
      <c r="D18" s="2"/>
      <c r="E18" s="9" t="str">
        <f aca="false">IF(OR(C18="",D18=""),"",D18-C18+1)</f>
        <v/>
      </c>
      <c r="F18" s="2"/>
    </row>
    <row r="19" customFormat="false" ht="15" hidden="false" customHeight="false" outlineLevel="0" collapsed="false">
      <c r="A19" s="2"/>
      <c r="B19" s="2"/>
      <c r="C19" s="2"/>
      <c r="D19" s="2"/>
      <c r="E19" s="9" t="str">
        <f aca="false">IF(OR(C19="",D19=""),"",D19-C19+1)</f>
        <v/>
      </c>
      <c r="F19" s="2"/>
    </row>
    <row r="20" customFormat="false" ht="15" hidden="false" customHeight="false" outlineLevel="0" collapsed="false">
      <c r="A20" s="2"/>
      <c r="B20" s="2"/>
      <c r="C20" s="2"/>
      <c r="D20" s="2"/>
      <c r="E20" s="9" t="str">
        <f aca="false">IF(OR(C20="",D20=""),"",D20-C20+1)</f>
        <v/>
      </c>
      <c r="F20" s="2"/>
    </row>
    <row r="21" customFormat="false" ht="15" hidden="false" customHeight="false" outlineLevel="0" collapsed="false">
      <c r="A21" s="2"/>
      <c r="B21" s="2"/>
      <c r="C21" s="2"/>
      <c r="D21" s="2"/>
      <c r="E21" s="9" t="str">
        <f aca="false">IF(OR(C21="",D21=""),"",D21-C21+1)</f>
        <v/>
      </c>
      <c r="F21" s="2"/>
    </row>
    <row r="22" customFormat="false" ht="15" hidden="false" customHeight="false" outlineLevel="0" collapsed="false">
      <c r="A22" s="2"/>
      <c r="B22" s="2"/>
      <c r="C22" s="2"/>
      <c r="D22" s="2"/>
      <c r="E22" s="9" t="str">
        <f aca="false">IF(OR(C22="",D22=""),"",D22-C22+1)</f>
        <v/>
      </c>
      <c r="F22" s="2"/>
    </row>
    <row r="23" customFormat="false" ht="15" hidden="false" customHeight="false" outlineLevel="0" collapsed="false">
      <c r="A23" s="2"/>
      <c r="B23" s="2"/>
      <c r="C23" s="2"/>
      <c r="D23" s="2"/>
      <c r="E23" s="9" t="str">
        <f aca="false">IF(OR(C23="",D23=""),"",D23-C23+1)</f>
        <v/>
      </c>
      <c r="F23" s="2"/>
    </row>
    <row r="24" customFormat="false" ht="15" hidden="false" customHeight="false" outlineLevel="0" collapsed="false">
      <c r="A24" s="2"/>
      <c r="B24" s="2"/>
      <c r="C24" s="2"/>
      <c r="D24" s="2"/>
      <c r="E24" s="9" t="str">
        <f aca="false">IF(OR(C24="",D24=""),"",D24-C24+1)</f>
        <v/>
      </c>
      <c r="F24" s="2"/>
    </row>
    <row r="25" customFormat="false" ht="15" hidden="false" customHeight="false" outlineLevel="0" collapsed="false">
      <c r="A25" s="2"/>
      <c r="B25" s="2"/>
      <c r="C25" s="2"/>
      <c r="D25" s="2"/>
      <c r="E25" s="9" t="str">
        <f aca="false">IF(OR(C25="",D25=""),"",D25-C25+1)</f>
        <v/>
      </c>
      <c r="F25" s="2"/>
    </row>
    <row r="26" customFormat="false" ht="15" hidden="false" customHeight="false" outlineLevel="0" collapsed="false">
      <c r="A26" s="2"/>
      <c r="B26" s="2"/>
      <c r="C26" s="2"/>
      <c r="D26" s="2"/>
      <c r="E26" s="9" t="str">
        <f aca="false">IF(OR(C26="",D26=""),"",D26-C26+1)</f>
        <v/>
      </c>
      <c r="F26" s="2"/>
    </row>
    <row r="27" customFormat="false" ht="15" hidden="false" customHeight="false" outlineLevel="0" collapsed="false">
      <c r="A27" s="2"/>
      <c r="B27" s="2"/>
      <c r="C27" s="2"/>
      <c r="D27" s="2"/>
      <c r="E27" s="9" t="str">
        <f aca="false">IF(OR(C27="",D27=""),"",D27-C27+1)</f>
        <v/>
      </c>
      <c r="F27" s="2"/>
    </row>
    <row r="28" customFormat="false" ht="15" hidden="false" customHeight="false" outlineLevel="0" collapsed="false">
      <c r="A28" s="2"/>
      <c r="B28" s="2"/>
      <c r="C28" s="2"/>
      <c r="D28" s="2"/>
      <c r="E28" s="9" t="str">
        <f aca="false">IF(OR(C28="",D28=""),"",D28-C28+1)</f>
        <v/>
      </c>
      <c r="F28" s="2"/>
    </row>
    <row r="29" customFormat="false" ht="15" hidden="false" customHeight="false" outlineLevel="0" collapsed="false">
      <c r="A29" s="2"/>
      <c r="B29" s="2"/>
      <c r="C29" s="2"/>
      <c r="D29" s="2"/>
      <c r="E29" s="9" t="str">
        <f aca="false">IF(OR(C29="",D29=""),"",D29-C29+1)</f>
        <v/>
      </c>
      <c r="F29" s="2"/>
    </row>
    <row r="30" customFormat="false" ht="15" hidden="false" customHeight="false" outlineLevel="0" collapsed="false">
      <c r="A30" s="2"/>
      <c r="B30" s="2"/>
      <c r="C30" s="2"/>
      <c r="D30" s="2"/>
      <c r="E30" s="9" t="str">
        <f aca="false">IF(OR(C30="",D30=""),"",D30-C30+1)</f>
        <v/>
      </c>
      <c r="F30" s="2"/>
    </row>
    <row r="31" customFormat="false" ht="15" hidden="false" customHeight="false" outlineLevel="0" collapsed="false">
      <c r="A31" s="2"/>
      <c r="B31" s="2"/>
      <c r="C31" s="2"/>
      <c r="D31" s="2"/>
      <c r="E31" s="9" t="str">
        <f aca="false">IF(OR(C31="",D31=""),"",D31-C31+1)</f>
        <v/>
      </c>
      <c r="F31" s="2"/>
    </row>
    <row r="32" customFormat="false" ht="15" hidden="false" customHeight="false" outlineLevel="0" collapsed="false">
      <c r="A32" s="2"/>
      <c r="B32" s="2"/>
      <c r="C32" s="2"/>
      <c r="D32" s="2"/>
      <c r="E32" s="9" t="str">
        <f aca="false">IF(OR(C32="",D32=""),"",D32-C32+1)</f>
        <v/>
      </c>
      <c r="F32" s="2"/>
    </row>
    <row r="33" customFormat="false" ht="15" hidden="false" customHeight="false" outlineLevel="0" collapsed="false">
      <c r="A33" s="2"/>
      <c r="B33" s="2"/>
      <c r="C33" s="2"/>
      <c r="D33" s="2"/>
      <c r="E33" s="9" t="str">
        <f aca="false">IF(OR(C33="",D33=""),"",D33-C33+1)</f>
        <v/>
      </c>
      <c r="F33" s="2"/>
    </row>
    <row r="34" customFormat="false" ht="15" hidden="false" customHeight="false" outlineLevel="0" collapsed="false">
      <c r="A34" s="2"/>
      <c r="B34" s="2"/>
      <c r="C34" s="2"/>
      <c r="D34" s="2"/>
      <c r="E34" s="9" t="str">
        <f aca="false">IF(OR(C34="",D34=""),"",D34-C34+1)</f>
        <v/>
      </c>
      <c r="F34" s="2"/>
    </row>
    <row r="35" customFormat="false" ht="15" hidden="false" customHeight="false" outlineLevel="0" collapsed="false">
      <c r="A35" s="2"/>
      <c r="B35" s="2"/>
      <c r="C35" s="2"/>
      <c r="D35" s="2"/>
      <c r="E35" s="9" t="str">
        <f aca="false">IF(OR(C35="",D35=""),"",D35-C35+1)</f>
        <v/>
      </c>
      <c r="F35" s="2"/>
    </row>
    <row r="36" customFormat="false" ht="15" hidden="false" customHeight="false" outlineLevel="0" collapsed="false">
      <c r="A36" s="2"/>
      <c r="B36" s="2"/>
      <c r="C36" s="2"/>
      <c r="D36" s="2"/>
      <c r="E36" s="9" t="str">
        <f aca="false">IF(OR(C36="",D36=""),"",D36-C36+1)</f>
        <v/>
      </c>
      <c r="F36" s="2"/>
    </row>
    <row r="37" customFormat="false" ht="15" hidden="false" customHeight="false" outlineLevel="0" collapsed="false">
      <c r="A37" s="2"/>
      <c r="B37" s="2"/>
      <c r="C37" s="2"/>
      <c r="D37" s="2"/>
      <c r="E37" s="9" t="str">
        <f aca="false">IF(OR(C37="",D37=""),"",D37-C37+1)</f>
        <v/>
      </c>
      <c r="F37" s="2"/>
    </row>
    <row r="38" customFormat="false" ht="15" hidden="false" customHeight="false" outlineLevel="0" collapsed="false">
      <c r="A38" s="2"/>
      <c r="B38" s="2"/>
      <c r="C38" s="2"/>
      <c r="D38" s="2"/>
      <c r="E38" s="9" t="str">
        <f aca="false">IF(OR(C38="",D38=""),"",D38-C38+1)</f>
        <v/>
      </c>
      <c r="F38" s="2"/>
    </row>
    <row r="39" customFormat="false" ht="15" hidden="false" customHeight="false" outlineLevel="0" collapsed="false">
      <c r="A39" s="2"/>
      <c r="B39" s="2"/>
      <c r="C39" s="2"/>
      <c r="D39" s="2"/>
      <c r="E39" s="9" t="str">
        <f aca="false">IF(OR(C39="",D39=""),"",D39-C39+1)</f>
        <v/>
      </c>
      <c r="F39" s="2"/>
    </row>
    <row r="40" customFormat="false" ht="15" hidden="false" customHeight="false" outlineLevel="0" collapsed="false">
      <c r="A40" s="2"/>
      <c r="B40" s="2"/>
      <c r="C40" s="2"/>
      <c r="D40" s="2"/>
      <c r="E40" s="9" t="str">
        <f aca="false">IF(OR(C40="",D40=""),"",D40-C40+1)</f>
        <v/>
      </c>
      <c r="F40" s="2"/>
    </row>
    <row r="41" customFormat="false" ht="15" hidden="false" customHeight="false" outlineLevel="0" collapsed="false">
      <c r="A41" s="2"/>
      <c r="B41" s="2"/>
      <c r="C41" s="2"/>
      <c r="D41" s="2"/>
      <c r="E41" s="9" t="str">
        <f aca="false">IF(OR(C41="",D41=""),"",D41-C41+1)</f>
        <v/>
      </c>
      <c r="F41" s="2"/>
    </row>
    <row r="42" customFormat="false" ht="15" hidden="false" customHeight="false" outlineLevel="0" collapsed="false">
      <c r="A42" s="2"/>
      <c r="B42" s="2"/>
      <c r="C42" s="2"/>
      <c r="D42" s="2"/>
      <c r="E42" s="9" t="str">
        <f aca="false">IF(OR(C42="",D42=""),"",D42-C42+1)</f>
        <v/>
      </c>
      <c r="F42" s="2"/>
    </row>
    <row r="43" customFormat="false" ht="15" hidden="false" customHeight="false" outlineLevel="0" collapsed="false">
      <c r="A43" s="2"/>
      <c r="B43" s="2"/>
      <c r="C43" s="2"/>
      <c r="D43" s="2"/>
      <c r="E43" s="9" t="str">
        <f aca="false">IF(OR(C43="",D43=""),"",D43-C43+1)</f>
        <v/>
      </c>
      <c r="F43" s="2"/>
    </row>
    <row r="44" customFormat="false" ht="15" hidden="false" customHeight="false" outlineLevel="0" collapsed="false">
      <c r="A44" s="2"/>
      <c r="B44" s="2"/>
      <c r="C44" s="2"/>
      <c r="D44" s="2"/>
      <c r="E44" s="9" t="str">
        <f aca="false">IF(OR(C44="",D44=""),"",D44-C44+1)</f>
        <v/>
      </c>
      <c r="F44" s="2"/>
    </row>
    <row r="45" customFormat="false" ht="15" hidden="false" customHeight="false" outlineLevel="0" collapsed="false">
      <c r="A45" s="2"/>
      <c r="B45" s="2"/>
      <c r="C45" s="2"/>
      <c r="D45" s="2"/>
      <c r="E45" s="9" t="str">
        <f aca="false">IF(OR(C45="",D45=""),"",D45-C45+1)</f>
        <v/>
      </c>
      <c r="F45" s="2"/>
    </row>
    <row r="46" customFormat="false" ht="15" hidden="false" customHeight="false" outlineLevel="0" collapsed="false">
      <c r="A46" s="2"/>
      <c r="B46" s="2"/>
      <c r="C46" s="2"/>
      <c r="D46" s="2"/>
      <c r="E46" s="9" t="str">
        <f aca="false">IF(OR(C46="",D46=""),"",D46-C46+1)</f>
        <v/>
      </c>
      <c r="F46" s="2"/>
    </row>
    <row r="47" customFormat="false" ht="15" hidden="false" customHeight="false" outlineLevel="0" collapsed="false">
      <c r="A47" s="2"/>
      <c r="B47" s="2"/>
      <c r="C47" s="2"/>
      <c r="D47" s="2"/>
      <c r="E47" s="9" t="str">
        <f aca="false">IF(OR(C47="",D47=""),"",D47-C47+1)</f>
        <v/>
      </c>
      <c r="F47" s="2"/>
    </row>
    <row r="48" customFormat="false" ht="15" hidden="false" customHeight="false" outlineLevel="0" collapsed="false">
      <c r="A48" s="2"/>
      <c r="B48" s="2"/>
      <c r="C48" s="2"/>
      <c r="D48" s="2"/>
      <c r="E48" s="9" t="str">
        <f aca="false">IF(OR(C48="",D48=""),"",D48-C48+1)</f>
        <v/>
      </c>
      <c r="F48" s="2"/>
    </row>
    <row r="49" customFormat="false" ht="15" hidden="false" customHeight="false" outlineLevel="0" collapsed="false">
      <c r="A49" s="2"/>
      <c r="B49" s="2"/>
      <c r="C49" s="2"/>
      <c r="D49" s="2"/>
      <c r="E49" s="9" t="str">
        <f aca="false">IF(OR(C49="",D49=""),"",D49-C49+1)</f>
        <v/>
      </c>
      <c r="F49" s="2"/>
    </row>
    <row r="50" customFormat="false" ht="15" hidden="false" customHeight="false" outlineLevel="0" collapsed="false">
      <c r="A50" s="2"/>
      <c r="B50" s="2"/>
      <c r="C50" s="2"/>
      <c r="D50" s="2"/>
      <c r="E50" s="9" t="str">
        <f aca="false">IF(OR(C50="",D50=""),"",D50-C50+1)</f>
        <v/>
      </c>
      <c r="F50" s="2"/>
    </row>
    <row r="51" customFormat="false" ht="15" hidden="false" customHeight="false" outlineLevel="0" collapsed="false">
      <c r="A51" s="2"/>
      <c r="B51" s="2"/>
      <c r="C51" s="2"/>
      <c r="D51" s="2"/>
      <c r="E51" s="9" t="str">
        <f aca="false">IF(OR(C51="",D51=""),"",D51-C51+1)</f>
        <v/>
      </c>
      <c r="F51" s="2"/>
    </row>
    <row r="52" customFormat="false" ht="15" hidden="false" customHeight="false" outlineLevel="0" collapsed="false">
      <c r="A52" s="2"/>
      <c r="B52" s="2"/>
      <c r="C52" s="2"/>
      <c r="D52" s="2"/>
      <c r="E52" s="9" t="str">
        <f aca="false">IF(OR(C52="",D52=""),"",D52-C52+1)</f>
        <v/>
      </c>
      <c r="F52" s="2"/>
    </row>
    <row r="53" customFormat="false" ht="15" hidden="false" customHeight="false" outlineLevel="0" collapsed="false">
      <c r="A53" s="2"/>
      <c r="B53" s="2"/>
      <c r="C53" s="2"/>
      <c r="D53" s="2"/>
      <c r="E53" s="9" t="str">
        <f aca="false">IF(OR(C53="",D53=""),"",D53-C53+1)</f>
        <v/>
      </c>
      <c r="F53" s="2"/>
    </row>
    <row r="54" customFormat="false" ht="15" hidden="false" customHeight="false" outlineLevel="0" collapsed="false">
      <c r="A54" s="2"/>
      <c r="B54" s="2"/>
      <c r="C54" s="2"/>
      <c r="D54" s="2"/>
      <c r="E54" s="9" t="str">
        <f aca="false">IF(OR(C54="",D54=""),"",D54-C54+1)</f>
        <v/>
      </c>
      <c r="F54" s="2"/>
    </row>
    <row r="55" customFormat="false" ht="15" hidden="false" customHeight="false" outlineLevel="0" collapsed="false">
      <c r="A55" s="2"/>
      <c r="B55" s="2"/>
      <c r="C55" s="2"/>
      <c r="D55" s="2"/>
      <c r="E55" s="9" t="str">
        <f aca="false">IF(OR(C55="",D55=""),"",D55-C55+1)</f>
        <v/>
      </c>
      <c r="F55" s="2"/>
    </row>
    <row r="56" customFormat="false" ht="15" hidden="false" customHeight="false" outlineLevel="0" collapsed="false">
      <c r="A56" s="2"/>
      <c r="B56" s="2"/>
      <c r="C56" s="2"/>
      <c r="D56" s="2"/>
      <c r="E56" s="9" t="str">
        <f aca="false">IF(OR(C56="",D56=""),"",D56-C56+1)</f>
        <v/>
      </c>
      <c r="F56" s="2"/>
    </row>
    <row r="57" customFormat="false" ht="15" hidden="false" customHeight="false" outlineLevel="0" collapsed="false">
      <c r="A57" s="2"/>
      <c r="B57" s="2"/>
      <c r="C57" s="2"/>
      <c r="D57" s="2"/>
      <c r="E57" s="9" t="str">
        <f aca="false">IF(OR(C57="",D57=""),"",D57-C57+1)</f>
        <v/>
      </c>
      <c r="F57" s="2"/>
    </row>
    <row r="58" customFormat="false" ht="15" hidden="false" customHeight="false" outlineLevel="0" collapsed="false">
      <c r="A58" s="2"/>
      <c r="B58" s="2"/>
      <c r="C58" s="2"/>
      <c r="D58" s="2"/>
      <c r="E58" s="9" t="str">
        <f aca="false">IF(OR(C58="",D58=""),"",D58-C58+1)</f>
        <v/>
      </c>
      <c r="F58" s="2"/>
    </row>
    <row r="59" customFormat="false" ht="15" hidden="false" customHeight="false" outlineLevel="0" collapsed="false">
      <c r="A59" s="2"/>
      <c r="B59" s="2"/>
      <c r="C59" s="2"/>
      <c r="D59" s="2"/>
      <c r="E59" s="9" t="str">
        <f aca="false">IF(OR(C59="",D59=""),"",D59-C59+1)</f>
        <v/>
      </c>
      <c r="F59" s="2"/>
    </row>
    <row r="60" customFormat="false" ht="15" hidden="false" customHeight="false" outlineLevel="0" collapsed="false">
      <c r="A60" s="2"/>
      <c r="B60" s="2"/>
      <c r="C60" s="2"/>
      <c r="D60" s="2"/>
      <c r="E60" s="9" t="str">
        <f aca="false">IF(OR(C60="",D60=""),"",D60-C60+1)</f>
        <v/>
      </c>
      <c r="F60" s="2"/>
    </row>
    <row r="61" customFormat="false" ht="15" hidden="false" customHeight="false" outlineLevel="0" collapsed="false">
      <c r="A61" s="2"/>
      <c r="B61" s="2"/>
      <c r="C61" s="2"/>
      <c r="D61" s="2"/>
      <c r="E61" s="9" t="str">
        <f aca="false">IF(OR(C61="",D61=""),"",D61-C61+1)</f>
        <v/>
      </c>
      <c r="F61" s="2"/>
    </row>
    <row r="62" customFormat="false" ht="15" hidden="false" customHeight="false" outlineLevel="0" collapsed="false">
      <c r="A62" s="2"/>
      <c r="B62" s="2"/>
      <c r="C62" s="2"/>
      <c r="D62" s="2"/>
      <c r="E62" s="9" t="str">
        <f aca="false">IF(OR(C62="",D62=""),"",D62-C62+1)</f>
        <v/>
      </c>
      <c r="F62" s="2"/>
    </row>
    <row r="63" customFormat="false" ht="15" hidden="false" customHeight="false" outlineLevel="0" collapsed="false">
      <c r="A63" s="2"/>
      <c r="B63" s="2"/>
      <c r="C63" s="2"/>
      <c r="D63" s="2"/>
      <c r="E63" s="9" t="str">
        <f aca="false">IF(OR(C63="",D63=""),"",D63-C63+1)</f>
        <v/>
      </c>
      <c r="F63" s="2"/>
    </row>
    <row r="64" customFormat="false" ht="15" hidden="false" customHeight="false" outlineLevel="0" collapsed="false">
      <c r="A64" s="2"/>
      <c r="B64" s="2"/>
      <c r="C64" s="2"/>
      <c r="D64" s="2"/>
      <c r="E64" s="9" t="str">
        <f aca="false">IF(OR(C64="",D64=""),"",D64-C64+1)</f>
        <v/>
      </c>
      <c r="F64" s="2"/>
    </row>
    <row r="65" customFormat="false" ht="15" hidden="false" customHeight="false" outlineLevel="0" collapsed="false">
      <c r="A65" s="2"/>
      <c r="B65" s="2"/>
      <c r="C65" s="2"/>
      <c r="D65" s="2"/>
      <c r="E65" s="9" t="str">
        <f aca="false">IF(OR(C65="",D65=""),"",D65-C65+1)</f>
        <v/>
      </c>
      <c r="F65" s="2"/>
    </row>
    <row r="66" customFormat="false" ht="15" hidden="false" customHeight="false" outlineLevel="0" collapsed="false">
      <c r="A66" s="2"/>
      <c r="B66" s="2"/>
      <c r="C66" s="2"/>
      <c r="D66" s="2"/>
      <c r="E66" s="9" t="str">
        <f aca="false">IF(OR(C66="",D66=""),"",D66-C66+1)</f>
        <v/>
      </c>
      <c r="F66" s="2"/>
    </row>
    <row r="67" customFormat="false" ht="15" hidden="false" customHeight="false" outlineLevel="0" collapsed="false">
      <c r="A67" s="2"/>
      <c r="B67" s="2"/>
      <c r="C67" s="2"/>
      <c r="D67" s="2"/>
      <c r="E67" s="9" t="str">
        <f aca="false">IF(OR(C67="",D67=""),"",D67-C67+1)</f>
        <v/>
      </c>
      <c r="F67" s="2"/>
    </row>
    <row r="68" customFormat="false" ht="15" hidden="false" customHeight="false" outlineLevel="0" collapsed="false">
      <c r="A68" s="2"/>
      <c r="B68" s="2"/>
      <c r="C68" s="2"/>
      <c r="D68" s="2"/>
      <c r="E68" s="9" t="str">
        <f aca="false">IF(OR(C68="",D68=""),"",D68-C68+1)</f>
        <v/>
      </c>
      <c r="F68" s="2"/>
    </row>
    <row r="69" customFormat="false" ht="15" hidden="false" customHeight="false" outlineLevel="0" collapsed="false">
      <c r="A69" s="2"/>
      <c r="B69" s="2"/>
      <c r="C69" s="2"/>
      <c r="D69" s="2"/>
      <c r="E69" s="9" t="str">
        <f aca="false">IF(OR(C69="",D69=""),"",D69-C69+1)</f>
        <v/>
      </c>
      <c r="F69" s="2"/>
    </row>
    <row r="70" customFormat="false" ht="15" hidden="false" customHeight="false" outlineLevel="0" collapsed="false">
      <c r="A70" s="2"/>
      <c r="B70" s="2"/>
      <c r="C70" s="2"/>
      <c r="D70" s="2"/>
      <c r="E70" s="9" t="str">
        <f aca="false">IF(OR(C70="",D70=""),"",D70-C70+1)</f>
        <v/>
      </c>
      <c r="F70" s="2"/>
    </row>
    <row r="71" customFormat="false" ht="15" hidden="false" customHeight="false" outlineLevel="0" collapsed="false">
      <c r="A71" s="2"/>
      <c r="B71" s="2"/>
      <c r="C71" s="2"/>
      <c r="D71" s="2"/>
      <c r="E71" s="9" t="str">
        <f aca="false">IF(OR(C71="",D71=""),"",D71-C71+1)</f>
        <v/>
      </c>
      <c r="F71" s="2"/>
    </row>
    <row r="72" customFormat="false" ht="15" hidden="false" customHeight="false" outlineLevel="0" collapsed="false">
      <c r="A72" s="2"/>
      <c r="B72" s="2"/>
      <c r="C72" s="2"/>
      <c r="D72" s="2"/>
      <c r="E72" s="9" t="str">
        <f aca="false">IF(OR(C72="",D72=""),"",D72-C72+1)</f>
        <v/>
      </c>
      <c r="F72" s="2"/>
    </row>
    <row r="73" customFormat="false" ht="15" hidden="false" customHeight="false" outlineLevel="0" collapsed="false">
      <c r="A73" s="2"/>
      <c r="B73" s="2"/>
      <c r="C73" s="2"/>
      <c r="D73" s="2"/>
      <c r="E73" s="9" t="str">
        <f aca="false">IF(OR(C73="",D73=""),"",D73-C73+1)</f>
        <v/>
      </c>
      <c r="F73" s="2"/>
    </row>
    <row r="74" customFormat="false" ht="15" hidden="false" customHeight="false" outlineLevel="0" collapsed="false">
      <c r="A74" s="2"/>
      <c r="B74" s="2"/>
      <c r="C74" s="2"/>
      <c r="D74" s="2"/>
      <c r="E74" s="9" t="str">
        <f aca="false">IF(OR(C74="",D74=""),"",D74-C74+1)</f>
        <v/>
      </c>
      <c r="F74" s="2"/>
    </row>
    <row r="75" customFormat="false" ht="15" hidden="false" customHeight="false" outlineLevel="0" collapsed="false">
      <c r="A75" s="2"/>
      <c r="B75" s="2"/>
      <c r="C75" s="2"/>
      <c r="D75" s="2"/>
      <c r="E75" s="9" t="str">
        <f aca="false">IF(OR(C75="",D75=""),"",D75-C75+1)</f>
        <v/>
      </c>
      <c r="F75" s="2"/>
    </row>
    <row r="76" customFormat="false" ht="15" hidden="false" customHeight="false" outlineLevel="0" collapsed="false">
      <c r="A76" s="2"/>
      <c r="B76" s="2"/>
      <c r="C76" s="2"/>
      <c r="D76" s="2"/>
      <c r="E76" s="9" t="str">
        <f aca="false">IF(OR(C76="",D76=""),"",D76-C76+1)</f>
        <v/>
      </c>
      <c r="F76" s="2"/>
    </row>
    <row r="77" customFormat="false" ht="15" hidden="false" customHeight="false" outlineLevel="0" collapsed="false">
      <c r="A77" s="2"/>
      <c r="B77" s="2"/>
      <c r="C77" s="2"/>
      <c r="D77" s="2"/>
      <c r="E77" s="9" t="str">
        <f aca="false">IF(OR(C77="",D77=""),"",D77-C77+1)</f>
        <v/>
      </c>
      <c r="F77" s="2"/>
    </row>
    <row r="78" customFormat="false" ht="15" hidden="false" customHeight="false" outlineLevel="0" collapsed="false">
      <c r="A78" s="2"/>
      <c r="B78" s="2"/>
      <c r="C78" s="2"/>
      <c r="D78" s="2"/>
      <c r="E78" s="9" t="str">
        <f aca="false">IF(OR(C78="",D78=""),"",D78-C78+1)</f>
        <v/>
      </c>
      <c r="F78" s="2"/>
    </row>
    <row r="79" customFormat="false" ht="15" hidden="false" customHeight="false" outlineLevel="0" collapsed="false">
      <c r="A79" s="2"/>
      <c r="B79" s="2"/>
      <c r="C79" s="2"/>
      <c r="D79" s="2"/>
      <c r="E79" s="9" t="str">
        <f aca="false">IF(OR(C79="",D79=""),"",D79-C79+1)</f>
        <v/>
      </c>
      <c r="F79" s="2"/>
    </row>
    <row r="80" customFormat="false" ht="15" hidden="false" customHeight="false" outlineLevel="0" collapsed="false">
      <c r="A80" s="2"/>
      <c r="B80" s="2"/>
      <c r="C80" s="2"/>
      <c r="D80" s="2"/>
      <c r="E80" s="9" t="str">
        <f aca="false">IF(OR(C80="",D80=""),"",D80-C80+1)</f>
        <v/>
      </c>
      <c r="F80" s="2"/>
    </row>
    <row r="81" customFormat="false" ht="15" hidden="false" customHeight="false" outlineLevel="0" collapsed="false">
      <c r="A81" s="2"/>
      <c r="B81" s="2"/>
      <c r="C81" s="2"/>
      <c r="D81" s="2"/>
      <c r="E81" s="9" t="str">
        <f aca="false">IF(OR(C81="",D81=""),"",D81-C81+1)</f>
        <v/>
      </c>
      <c r="F81" s="2"/>
    </row>
    <row r="82" customFormat="false" ht="15" hidden="false" customHeight="false" outlineLevel="0" collapsed="false">
      <c r="A82" s="2"/>
      <c r="B82" s="2"/>
      <c r="C82" s="2"/>
      <c r="D82" s="2"/>
      <c r="E82" s="9" t="str">
        <f aca="false">IF(OR(C82="",D82=""),"",D82-C82+1)</f>
        <v/>
      </c>
      <c r="F82" s="2"/>
    </row>
    <row r="83" customFormat="false" ht="15" hidden="false" customHeight="false" outlineLevel="0" collapsed="false">
      <c r="A83" s="2"/>
      <c r="B83" s="2"/>
      <c r="C83" s="2"/>
      <c r="D83" s="2"/>
      <c r="E83" s="9" t="str">
        <f aca="false">IF(OR(C83="",D83=""),"",D83-C83+1)</f>
        <v/>
      </c>
      <c r="F83" s="2"/>
    </row>
    <row r="84" customFormat="false" ht="15" hidden="false" customHeight="false" outlineLevel="0" collapsed="false">
      <c r="A84" s="2"/>
      <c r="B84" s="2"/>
      <c r="C84" s="2"/>
      <c r="D84" s="2"/>
      <c r="E84" s="9" t="str">
        <f aca="false">IF(OR(C84="",D84=""),"",D84-C84+1)</f>
        <v/>
      </c>
      <c r="F84" s="2"/>
    </row>
    <row r="85" customFormat="false" ht="15" hidden="false" customHeight="false" outlineLevel="0" collapsed="false">
      <c r="A85" s="2"/>
      <c r="B85" s="2"/>
      <c r="C85" s="2"/>
      <c r="D85" s="2"/>
      <c r="E85" s="9" t="str">
        <f aca="false">IF(OR(C85="",D85=""),"",D85-C85+1)</f>
        <v/>
      </c>
      <c r="F85" s="2"/>
    </row>
    <row r="86" customFormat="false" ht="15" hidden="false" customHeight="false" outlineLevel="0" collapsed="false">
      <c r="A86" s="2"/>
      <c r="B86" s="2"/>
      <c r="C86" s="2"/>
      <c r="D86" s="2"/>
      <c r="E86" s="9" t="str">
        <f aca="false">IF(OR(C86="",D86=""),"",D86-C86+1)</f>
        <v/>
      </c>
      <c r="F86" s="2"/>
    </row>
    <row r="87" customFormat="false" ht="15" hidden="false" customHeight="false" outlineLevel="0" collapsed="false">
      <c r="A87" s="2"/>
      <c r="B87" s="2"/>
      <c r="C87" s="2"/>
      <c r="D87" s="2"/>
      <c r="E87" s="9" t="str">
        <f aca="false">IF(OR(C87="",D87=""),"",D87-C87+1)</f>
        <v/>
      </c>
      <c r="F87" s="2"/>
    </row>
    <row r="88" customFormat="false" ht="15" hidden="false" customHeight="false" outlineLevel="0" collapsed="false">
      <c r="A88" s="2"/>
      <c r="B88" s="2"/>
      <c r="C88" s="2"/>
      <c r="D88" s="2"/>
      <c r="E88" s="9" t="str">
        <f aca="false">IF(OR(C88="",D88=""),"",D88-C88+1)</f>
        <v/>
      </c>
      <c r="F88" s="2"/>
    </row>
    <row r="89" customFormat="false" ht="15" hidden="false" customHeight="false" outlineLevel="0" collapsed="false">
      <c r="A89" s="2"/>
      <c r="B89" s="2"/>
      <c r="C89" s="2"/>
      <c r="D89" s="2"/>
      <c r="E89" s="9" t="str">
        <f aca="false">IF(OR(C89="",D89=""),"",D89-C89+1)</f>
        <v/>
      </c>
      <c r="F89" s="2"/>
    </row>
    <row r="90" customFormat="false" ht="15" hidden="false" customHeight="false" outlineLevel="0" collapsed="false">
      <c r="A90" s="2"/>
      <c r="B90" s="2"/>
      <c r="C90" s="2"/>
      <c r="D90" s="2"/>
      <c r="E90" s="9" t="str">
        <f aca="false">IF(OR(C90="",D90=""),"",D90-C90+1)</f>
        <v/>
      </c>
      <c r="F90" s="2"/>
    </row>
    <row r="91" customFormat="false" ht="15" hidden="false" customHeight="false" outlineLevel="0" collapsed="false">
      <c r="A91" s="2"/>
      <c r="B91" s="2"/>
      <c r="C91" s="2"/>
      <c r="D91" s="2"/>
      <c r="E91" s="9" t="str">
        <f aca="false">IF(OR(C91="",D91=""),"",D91-C91+1)</f>
        <v/>
      </c>
      <c r="F91" s="2"/>
    </row>
    <row r="92" customFormat="false" ht="15" hidden="false" customHeight="false" outlineLevel="0" collapsed="false">
      <c r="A92" s="2"/>
      <c r="B92" s="2"/>
      <c r="C92" s="2"/>
      <c r="D92" s="2"/>
      <c r="E92" s="9" t="str">
        <f aca="false">IF(OR(C92="",D92=""),"",D92-C92+1)</f>
        <v/>
      </c>
      <c r="F92" s="2"/>
    </row>
    <row r="93" customFormat="false" ht="15" hidden="false" customHeight="false" outlineLevel="0" collapsed="false">
      <c r="A93" s="2"/>
      <c r="B93" s="2"/>
      <c r="C93" s="2"/>
      <c r="D93" s="2"/>
      <c r="E93" s="9" t="str">
        <f aca="false">IF(OR(C93="",D93=""),"",D93-C93+1)</f>
        <v/>
      </c>
      <c r="F93" s="2"/>
    </row>
    <row r="94" customFormat="false" ht="15" hidden="false" customHeight="false" outlineLevel="0" collapsed="false">
      <c r="A94" s="2"/>
      <c r="B94" s="2"/>
      <c r="C94" s="2"/>
      <c r="D94" s="2"/>
      <c r="E94" s="9" t="str">
        <f aca="false">IF(OR(C94="",D94=""),"",D94-C94+1)</f>
        <v/>
      </c>
      <c r="F94" s="2"/>
    </row>
    <row r="95" customFormat="false" ht="15" hidden="false" customHeight="false" outlineLevel="0" collapsed="false">
      <c r="A95" s="2"/>
      <c r="B95" s="2"/>
      <c r="C95" s="2"/>
      <c r="D95" s="2"/>
      <c r="E95" s="9" t="str">
        <f aca="false">IF(OR(C95="",D95=""),"",D95-C95+1)</f>
        <v/>
      </c>
      <c r="F95" s="2"/>
    </row>
    <row r="96" customFormat="false" ht="15" hidden="false" customHeight="false" outlineLevel="0" collapsed="false">
      <c r="A96" s="2"/>
      <c r="B96" s="2"/>
      <c r="C96" s="2"/>
      <c r="D96" s="2"/>
      <c r="E96" s="9" t="str">
        <f aca="false">IF(OR(C96="",D96=""),"",D96-C96+1)</f>
        <v/>
      </c>
      <c r="F96" s="2"/>
    </row>
    <row r="97" customFormat="false" ht="15" hidden="false" customHeight="false" outlineLevel="0" collapsed="false">
      <c r="A97" s="2"/>
      <c r="B97" s="2"/>
      <c r="C97" s="2"/>
      <c r="D97" s="2"/>
      <c r="E97" s="9" t="str">
        <f aca="false">IF(OR(C97="",D97=""),"",D97-C97+1)</f>
        <v/>
      </c>
      <c r="F97" s="2"/>
    </row>
    <row r="98" customFormat="false" ht="15" hidden="false" customHeight="false" outlineLevel="0" collapsed="false">
      <c r="A98" s="2"/>
      <c r="B98" s="2"/>
      <c r="C98" s="2"/>
      <c r="D98" s="2"/>
      <c r="E98" s="9" t="str">
        <f aca="false">IF(OR(C98="",D98=""),"",D98-C98+1)</f>
        <v/>
      </c>
      <c r="F98" s="2"/>
    </row>
    <row r="99" customFormat="false" ht="15" hidden="false" customHeight="false" outlineLevel="0" collapsed="false">
      <c r="A99" s="2"/>
      <c r="B99" s="2"/>
      <c r="C99" s="2"/>
      <c r="D99" s="2"/>
      <c r="E99" s="9" t="str">
        <f aca="false">IF(OR(C99="",D99=""),"",D99-C99+1)</f>
        <v/>
      </c>
      <c r="F99" s="2"/>
    </row>
    <row r="100" customFormat="false" ht="15" hidden="false" customHeight="false" outlineLevel="0" collapsed="false">
      <c r="A100" s="2"/>
      <c r="B100" s="2"/>
      <c r="C100" s="2"/>
      <c r="D100" s="2"/>
      <c r="E100" s="9" t="str">
        <f aca="false">IF(OR(C100="",D100=""),"",D100-C100+1)</f>
        <v/>
      </c>
      <c r="F100" s="2"/>
    </row>
    <row r="101" customFormat="false" ht="15" hidden="false" customHeight="false" outlineLevel="0" collapsed="false">
      <c r="A101" s="2"/>
      <c r="B101" s="2"/>
      <c r="C101" s="2"/>
      <c r="D101" s="2"/>
      <c r="E101" s="9" t="str">
        <f aca="false">IF(OR(C101="",D101=""),"",D101-C101+1)</f>
        <v/>
      </c>
      <c r="F101" s="2"/>
    </row>
    <row r="102" customFormat="false" ht="15" hidden="false" customHeight="false" outlineLevel="0" collapsed="false">
      <c r="A102" s="2"/>
      <c r="B102" s="2"/>
      <c r="C102" s="2"/>
      <c r="D102" s="2"/>
      <c r="E102" s="9" t="str">
        <f aca="false">IF(OR(C102="",D102=""),"",D102-C102+1)</f>
        <v/>
      </c>
      <c r="F102" s="2"/>
    </row>
    <row r="103" customFormat="false" ht="15" hidden="false" customHeight="false" outlineLevel="0" collapsed="false">
      <c r="A103" s="2"/>
      <c r="B103" s="2"/>
      <c r="C103" s="2"/>
      <c r="D103" s="2"/>
      <c r="E103" s="9" t="str">
        <f aca="false">IF(OR(C103="",D103=""),"",D103-C103+1)</f>
        <v/>
      </c>
      <c r="F103" s="2"/>
    </row>
    <row r="104" customFormat="false" ht="15" hidden="false" customHeight="false" outlineLevel="0" collapsed="false">
      <c r="A104" s="2"/>
      <c r="B104" s="2"/>
      <c r="C104" s="2"/>
      <c r="D104" s="2"/>
      <c r="E104" s="9" t="str">
        <f aca="false">IF(OR(C104="",D104=""),"",D104-C104+1)</f>
        <v/>
      </c>
      <c r="F104" s="2"/>
    </row>
    <row r="105" customFormat="false" ht="15" hidden="false" customHeight="false" outlineLevel="0" collapsed="false">
      <c r="A105" s="2"/>
      <c r="B105" s="2"/>
      <c r="C105" s="2"/>
      <c r="D105" s="2"/>
      <c r="E105" s="9" t="str">
        <f aca="false">IF(OR(C105="",D105=""),"",D105-C105+1)</f>
        <v/>
      </c>
      <c r="F105" s="2"/>
    </row>
    <row r="106" customFormat="false" ht="15" hidden="false" customHeight="false" outlineLevel="0" collapsed="false">
      <c r="A106" s="2"/>
      <c r="B106" s="2"/>
      <c r="C106" s="2"/>
      <c r="D106" s="2"/>
      <c r="E106" s="9" t="str">
        <f aca="false">IF(OR(C106="",D106=""),"",D106-C106+1)</f>
        <v/>
      </c>
      <c r="F106" s="2"/>
    </row>
    <row r="107" customFormat="false" ht="15" hidden="false" customHeight="false" outlineLevel="0" collapsed="false">
      <c r="A107" s="2"/>
      <c r="B107" s="2"/>
      <c r="C107" s="2"/>
      <c r="D107" s="2"/>
      <c r="E107" s="9" t="str">
        <f aca="false">IF(OR(C107="",D107=""),"",D107-C107+1)</f>
        <v/>
      </c>
      <c r="F107" s="2"/>
    </row>
    <row r="108" customFormat="false" ht="15" hidden="false" customHeight="false" outlineLevel="0" collapsed="false">
      <c r="A108" s="2"/>
      <c r="B108" s="2"/>
      <c r="C108" s="2"/>
      <c r="D108" s="2"/>
      <c r="E108" s="9" t="str">
        <f aca="false">IF(OR(C108="",D108=""),"",D108-C108+1)</f>
        <v/>
      </c>
      <c r="F108" s="2"/>
    </row>
    <row r="109" customFormat="false" ht="15" hidden="false" customHeight="false" outlineLevel="0" collapsed="false">
      <c r="A109" s="2"/>
      <c r="B109" s="2"/>
      <c r="C109" s="2"/>
      <c r="D109" s="2"/>
      <c r="E109" s="9" t="str">
        <f aca="false">IF(OR(C109="",D109=""),"",D109-C109+1)</f>
        <v/>
      </c>
      <c r="F109" s="2"/>
    </row>
    <row r="110" customFormat="false" ht="15" hidden="false" customHeight="false" outlineLevel="0" collapsed="false">
      <c r="A110" s="2"/>
      <c r="B110" s="2"/>
      <c r="C110" s="2"/>
      <c r="D110" s="2"/>
      <c r="E110" s="9" t="str">
        <f aca="false">IF(OR(C110="",D110=""),"",D110-C110+1)</f>
        <v/>
      </c>
      <c r="F110" s="2"/>
    </row>
    <row r="111" customFormat="false" ht="15" hidden="false" customHeight="false" outlineLevel="0" collapsed="false">
      <c r="A111" s="2"/>
      <c r="B111" s="2"/>
      <c r="C111" s="2"/>
      <c r="D111" s="2"/>
      <c r="E111" s="9" t="str">
        <f aca="false">IF(OR(C111="",D111=""),"",D111-C111+1)</f>
        <v/>
      </c>
      <c r="F111" s="2"/>
    </row>
    <row r="112" customFormat="false" ht="15" hidden="false" customHeight="false" outlineLevel="0" collapsed="false">
      <c r="A112" s="2"/>
      <c r="B112" s="2"/>
      <c r="C112" s="2"/>
      <c r="D112" s="2"/>
      <c r="E112" s="9" t="str">
        <f aca="false">IF(OR(C112="",D112=""),"",D112-C112+1)</f>
        <v/>
      </c>
      <c r="F112" s="2"/>
    </row>
    <row r="113" customFormat="false" ht="15" hidden="false" customHeight="false" outlineLevel="0" collapsed="false">
      <c r="A113" s="2"/>
      <c r="B113" s="2"/>
      <c r="C113" s="2"/>
      <c r="D113" s="2"/>
      <c r="E113" s="9" t="str">
        <f aca="false">IF(OR(C113="",D113=""),"",D113-C113+1)</f>
        <v/>
      </c>
      <c r="F113" s="2"/>
    </row>
    <row r="114" customFormat="false" ht="15" hidden="false" customHeight="false" outlineLevel="0" collapsed="false">
      <c r="A114" s="2"/>
      <c r="B114" s="2"/>
      <c r="C114" s="2"/>
      <c r="D114" s="2"/>
      <c r="E114" s="9" t="str">
        <f aca="false">IF(OR(C114="",D114=""),"",D114-C114+1)</f>
        <v/>
      </c>
      <c r="F114" s="2"/>
    </row>
    <row r="115" customFormat="false" ht="15" hidden="false" customHeight="false" outlineLevel="0" collapsed="false">
      <c r="A115" s="2"/>
      <c r="B115" s="2"/>
      <c r="C115" s="2"/>
      <c r="D115" s="2"/>
      <c r="E115" s="9" t="str">
        <f aca="false">IF(OR(C115="",D115=""),"",D115-C115+1)</f>
        <v/>
      </c>
      <c r="F115" s="2"/>
    </row>
    <row r="116" customFormat="false" ht="15" hidden="false" customHeight="false" outlineLevel="0" collapsed="false">
      <c r="A116" s="2"/>
      <c r="B116" s="2"/>
      <c r="C116" s="2"/>
      <c r="D116" s="2"/>
      <c r="E116" s="9" t="str">
        <f aca="false">IF(OR(C116="",D116=""),"",D116-C116+1)</f>
        <v/>
      </c>
      <c r="F116" s="2"/>
    </row>
    <row r="117" customFormat="false" ht="15" hidden="false" customHeight="false" outlineLevel="0" collapsed="false">
      <c r="A117" s="2"/>
      <c r="B117" s="2"/>
      <c r="C117" s="2"/>
      <c r="D117" s="2"/>
      <c r="E117" s="9" t="str">
        <f aca="false">IF(OR(C117="",D117=""),"",D117-C117+1)</f>
        <v/>
      </c>
      <c r="F117" s="2"/>
    </row>
    <row r="118" customFormat="false" ht="15" hidden="false" customHeight="false" outlineLevel="0" collapsed="false">
      <c r="A118" s="2"/>
      <c r="B118" s="2"/>
      <c r="C118" s="2"/>
      <c r="D118" s="2"/>
      <c r="E118" s="9" t="str">
        <f aca="false">IF(OR(C118="",D118=""),"",D118-C118+1)</f>
        <v/>
      </c>
      <c r="F118" s="2"/>
    </row>
    <row r="119" customFormat="false" ht="15" hidden="false" customHeight="false" outlineLevel="0" collapsed="false">
      <c r="A119" s="2"/>
      <c r="B119" s="2"/>
      <c r="C119" s="2"/>
      <c r="D119" s="2"/>
      <c r="E119" s="9" t="str">
        <f aca="false">IF(OR(C119="",D119=""),"",D119-C119+1)</f>
        <v/>
      </c>
      <c r="F119" s="2"/>
    </row>
    <row r="120" customFormat="false" ht="15" hidden="false" customHeight="false" outlineLevel="0" collapsed="false">
      <c r="A120" s="2"/>
      <c r="B120" s="2"/>
      <c r="C120" s="2"/>
      <c r="D120" s="2"/>
      <c r="E120" s="9" t="str">
        <f aca="false">IF(OR(C120="",D120=""),"",D120-C120+1)</f>
        <v/>
      </c>
      <c r="F120" s="2"/>
    </row>
    <row r="121" customFormat="false" ht="15" hidden="false" customHeight="false" outlineLevel="0" collapsed="false">
      <c r="A121" s="2"/>
      <c r="B121" s="2"/>
      <c r="C121" s="2"/>
      <c r="D121" s="2"/>
      <c r="E121" s="9" t="str">
        <f aca="false">IF(OR(C121="",D121=""),"",D121-C121+1)</f>
        <v/>
      </c>
      <c r="F121" s="2"/>
    </row>
    <row r="122" customFormat="false" ht="15" hidden="false" customHeight="false" outlineLevel="0" collapsed="false">
      <c r="A122" s="2"/>
      <c r="B122" s="2"/>
      <c r="C122" s="2"/>
      <c r="D122" s="2"/>
      <c r="E122" s="9" t="str">
        <f aca="false">IF(OR(C122="",D122=""),"",D122-C122+1)</f>
        <v/>
      </c>
      <c r="F122" s="2"/>
    </row>
    <row r="123" customFormat="false" ht="15" hidden="false" customHeight="false" outlineLevel="0" collapsed="false">
      <c r="A123" s="2"/>
      <c r="B123" s="2"/>
      <c r="C123" s="2"/>
      <c r="D123" s="2"/>
      <c r="E123" s="9" t="str">
        <f aca="false">IF(OR(C123="",D123=""),"",D123-C123+1)</f>
        <v/>
      </c>
      <c r="F123" s="2"/>
    </row>
    <row r="124" customFormat="false" ht="15" hidden="false" customHeight="false" outlineLevel="0" collapsed="false">
      <c r="A124" s="2"/>
      <c r="B124" s="2"/>
      <c r="C124" s="2"/>
      <c r="D124" s="2"/>
      <c r="E124" s="9" t="str">
        <f aca="false">IF(OR(C124="",D124=""),"",D124-C124+1)</f>
        <v/>
      </c>
      <c r="F124" s="2"/>
    </row>
    <row r="125" customFormat="false" ht="15" hidden="false" customHeight="false" outlineLevel="0" collapsed="false">
      <c r="A125" s="2"/>
      <c r="B125" s="2"/>
      <c r="C125" s="2"/>
      <c r="D125" s="2"/>
      <c r="E125" s="9" t="str">
        <f aca="false">IF(OR(C125="",D125=""),"",D125-C125+1)</f>
        <v/>
      </c>
      <c r="F125" s="2"/>
    </row>
    <row r="126" customFormat="false" ht="15" hidden="false" customHeight="false" outlineLevel="0" collapsed="false">
      <c r="A126" s="2"/>
      <c r="B126" s="2"/>
      <c r="C126" s="2"/>
      <c r="D126" s="2"/>
      <c r="E126" s="9" t="str">
        <f aca="false">IF(OR(C126="",D126=""),"",D126-C126+1)</f>
        <v/>
      </c>
      <c r="F126" s="2"/>
    </row>
    <row r="127" customFormat="false" ht="15" hidden="false" customHeight="false" outlineLevel="0" collapsed="false">
      <c r="A127" s="2"/>
      <c r="B127" s="2"/>
      <c r="C127" s="2"/>
      <c r="D127" s="2"/>
      <c r="E127" s="9" t="str">
        <f aca="false">IF(OR(C127="",D127=""),"",D127-C127+1)</f>
        <v/>
      </c>
      <c r="F127" s="2"/>
    </row>
    <row r="128" customFormat="false" ht="15" hidden="false" customHeight="false" outlineLevel="0" collapsed="false">
      <c r="A128" s="2"/>
      <c r="B128" s="2"/>
      <c r="C128" s="2"/>
      <c r="D128" s="2"/>
      <c r="E128" s="9" t="str">
        <f aca="false">IF(OR(C128="",D128=""),"",D128-C128+1)</f>
        <v/>
      </c>
      <c r="F128" s="2"/>
    </row>
    <row r="129" customFormat="false" ht="15" hidden="false" customHeight="false" outlineLevel="0" collapsed="false">
      <c r="A129" s="2"/>
      <c r="B129" s="2"/>
      <c r="C129" s="2"/>
      <c r="D129" s="2"/>
      <c r="E129" s="9" t="str">
        <f aca="false">IF(OR(C129="",D129=""),"",D129-C129+1)</f>
        <v/>
      </c>
      <c r="F129" s="2"/>
    </row>
    <row r="130" customFormat="false" ht="15" hidden="false" customHeight="false" outlineLevel="0" collapsed="false">
      <c r="A130" s="2"/>
      <c r="B130" s="2"/>
      <c r="C130" s="2"/>
      <c r="D130" s="2"/>
      <c r="E130" s="9" t="str">
        <f aca="false">IF(OR(C130="",D130=""),"",D130-C130+1)</f>
        <v/>
      </c>
      <c r="F130" s="2"/>
    </row>
    <row r="131" customFormat="false" ht="15" hidden="false" customHeight="false" outlineLevel="0" collapsed="false">
      <c r="A131" s="2"/>
      <c r="B131" s="2"/>
      <c r="C131" s="2"/>
      <c r="D131" s="2"/>
      <c r="E131" s="9" t="str">
        <f aca="false">IF(OR(C131="",D131=""),"",D131-C131+1)</f>
        <v/>
      </c>
      <c r="F131" s="2"/>
    </row>
    <row r="132" customFormat="false" ht="15" hidden="false" customHeight="false" outlineLevel="0" collapsed="false">
      <c r="A132" s="2"/>
      <c r="B132" s="2"/>
      <c r="C132" s="2"/>
      <c r="D132" s="2"/>
      <c r="E132" s="9" t="str">
        <f aca="false">IF(OR(C132="",D132=""),"",D132-C132+1)</f>
        <v/>
      </c>
      <c r="F132" s="2"/>
    </row>
    <row r="133" customFormat="false" ht="15" hidden="false" customHeight="false" outlineLevel="0" collapsed="false">
      <c r="A133" s="2"/>
      <c r="B133" s="2"/>
      <c r="C133" s="2"/>
      <c r="D133" s="2"/>
      <c r="E133" s="9" t="str">
        <f aca="false">IF(OR(C133="",D133=""),"",D133-C133+1)</f>
        <v/>
      </c>
      <c r="F133" s="2"/>
    </row>
    <row r="134" customFormat="false" ht="15" hidden="false" customHeight="false" outlineLevel="0" collapsed="false">
      <c r="A134" s="2"/>
      <c r="B134" s="2"/>
      <c r="C134" s="2"/>
      <c r="D134" s="2"/>
      <c r="E134" s="9" t="str">
        <f aca="false">IF(OR(C134="",D134=""),"",D134-C134+1)</f>
        <v/>
      </c>
      <c r="F134" s="2"/>
    </row>
    <row r="135" customFormat="false" ht="15" hidden="false" customHeight="false" outlineLevel="0" collapsed="false">
      <c r="A135" s="2"/>
      <c r="B135" s="2"/>
      <c r="C135" s="2"/>
      <c r="D135" s="2"/>
      <c r="E135" s="9" t="str">
        <f aca="false">IF(OR(C135="",D135=""),"",D135-C135+1)</f>
        <v/>
      </c>
      <c r="F135" s="2"/>
    </row>
    <row r="136" customFormat="false" ht="15" hidden="false" customHeight="false" outlineLevel="0" collapsed="false">
      <c r="A136" s="2"/>
      <c r="B136" s="2"/>
      <c r="C136" s="2"/>
      <c r="D136" s="2"/>
      <c r="E136" s="9" t="str">
        <f aca="false">IF(OR(C136="",D136=""),"",D136-C136+1)</f>
        <v/>
      </c>
      <c r="F136" s="2"/>
    </row>
    <row r="137" customFormat="false" ht="15" hidden="false" customHeight="false" outlineLevel="0" collapsed="false">
      <c r="A137" s="2"/>
      <c r="B137" s="2"/>
      <c r="C137" s="2"/>
      <c r="D137" s="2"/>
      <c r="E137" s="9" t="str">
        <f aca="false">IF(OR(C137="",D137=""),"",D137-C137+1)</f>
        <v/>
      </c>
      <c r="F137" s="2"/>
    </row>
    <row r="138" customFormat="false" ht="15" hidden="false" customHeight="false" outlineLevel="0" collapsed="false">
      <c r="A138" s="2"/>
      <c r="B138" s="2"/>
      <c r="C138" s="2"/>
      <c r="D138" s="2"/>
      <c r="E138" s="9" t="str">
        <f aca="false">IF(OR(C138="",D138=""),"",D138-C138+1)</f>
        <v/>
      </c>
      <c r="F138" s="2"/>
    </row>
    <row r="139" customFormat="false" ht="15" hidden="false" customHeight="false" outlineLevel="0" collapsed="false">
      <c r="A139" s="2"/>
      <c r="B139" s="2"/>
      <c r="C139" s="2"/>
      <c r="D139" s="2"/>
      <c r="E139" s="9" t="str">
        <f aca="false">IF(OR(C139="",D139=""),"",D139-C139+1)</f>
        <v/>
      </c>
      <c r="F139" s="2"/>
    </row>
    <row r="140" customFormat="false" ht="15" hidden="false" customHeight="false" outlineLevel="0" collapsed="false">
      <c r="A140" s="2"/>
      <c r="B140" s="2"/>
      <c r="C140" s="2"/>
      <c r="D140" s="2"/>
      <c r="E140" s="9" t="str">
        <f aca="false">IF(OR(C140="",D140=""),"",D140-C140+1)</f>
        <v/>
      </c>
      <c r="F140" s="2"/>
    </row>
    <row r="141" customFormat="false" ht="15" hidden="false" customHeight="false" outlineLevel="0" collapsed="false">
      <c r="A141" s="2"/>
      <c r="B141" s="2"/>
      <c r="C141" s="2"/>
      <c r="D141" s="2"/>
      <c r="E141" s="9" t="str">
        <f aca="false">IF(OR(C141="",D141=""),"",D141-C141+1)</f>
        <v/>
      </c>
      <c r="F141" s="2"/>
    </row>
    <row r="142" customFormat="false" ht="15" hidden="false" customHeight="false" outlineLevel="0" collapsed="false">
      <c r="A142" s="2"/>
      <c r="B142" s="2"/>
      <c r="C142" s="2"/>
      <c r="D142" s="2"/>
      <c r="E142" s="9" t="str">
        <f aca="false">IF(OR(C142="",D142=""),"",D142-C142+1)</f>
        <v/>
      </c>
      <c r="F142" s="2"/>
    </row>
    <row r="143" customFormat="false" ht="15" hidden="false" customHeight="false" outlineLevel="0" collapsed="false">
      <c r="A143" s="2"/>
      <c r="B143" s="2"/>
      <c r="C143" s="2"/>
      <c r="D143" s="2"/>
      <c r="E143" s="9" t="str">
        <f aca="false">IF(OR(C143="",D143=""),"",D143-C143+1)</f>
        <v/>
      </c>
      <c r="F143" s="2"/>
    </row>
    <row r="144" customFormat="false" ht="15" hidden="false" customHeight="false" outlineLevel="0" collapsed="false">
      <c r="A144" s="2"/>
      <c r="B144" s="2"/>
      <c r="C144" s="2"/>
      <c r="D144" s="2"/>
      <c r="E144" s="9" t="str">
        <f aca="false">IF(OR(C144="",D144=""),"",D144-C144+1)</f>
        <v/>
      </c>
      <c r="F144" s="2"/>
    </row>
    <row r="145" customFormat="false" ht="15" hidden="false" customHeight="false" outlineLevel="0" collapsed="false">
      <c r="A145" s="2"/>
      <c r="B145" s="2"/>
      <c r="C145" s="2"/>
      <c r="D145" s="2"/>
      <c r="E145" s="9" t="str">
        <f aca="false">IF(OR(C145="",D145=""),"",D145-C145+1)</f>
        <v/>
      </c>
      <c r="F145" s="2"/>
    </row>
    <row r="146" customFormat="false" ht="15" hidden="false" customHeight="false" outlineLevel="0" collapsed="false">
      <c r="A146" s="2"/>
      <c r="B146" s="2"/>
      <c r="C146" s="2"/>
      <c r="D146" s="2"/>
      <c r="E146" s="9" t="str">
        <f aca="false">IF(OR(C146="",D146=""),"",D146-C146+1)</f>
        <v/>
      </c>
      <c r="F146" s="2"/>
    </row>
    <row r="147" customFormat="false" ht="15" hidden="false" customHeight="false" outlineLevel="0" collapsed="false">
      <c r="A147" s="2"/>
      <c r="B147" s="2"/>
      <c r="C147" s="2"/>
      <c r="D147" s="2"/>
      <c r="E147" s="9" t="str">
        <f aca="false">IF(OR(C147="",D147=""),"",D147-C147+1)</f>
        <v/>
      </c>
      <c r="F147" s="2"/>
    </row>
    <row r="148" customFormat="false" ht="15" hidden="false" customHeight="false" outlineLevel="0" collapsed="false">
      <c r="A148" s="2"/>
      <c r="B148" s="2"/>
      <c r="C148" s="2"/>
      <c r="D148" s="2"/>
      <c r="E148" s="9" t="str">
        <f aca="false">IF(OR(C148="",D148=""),"",D148-C148+1)</f>
        <v/>
      </c>
      <c r="F148" s="2"/>
    </row>
    <row r="149" customFormat="false" ht="15" hidden="false" customHeight="false" outlineLevel="0" collapsed="false">
      <c r="A149" s="2"/>
      <c r="B149" s="2"/>
      <c r="C149" s="2"/>
      <c r="D149" s="2"/>
      <c r="E149" s="9" t="str">
        <f aca="false">IF(OR(C149="",D149=""),"",D149-C149+1)</f>
        <v/>
      </c>
      <c r="F149" s="2"/>
    </row>
    <row r="150" customFormat="false" ht="15" hidden="false" customHeight="false" outlineLevel="0" collapsed="false">
      <c r="A150" s="2"/>
      <c r="B150" s="2"/>
      <c r="C150" s="2"/>
      <c r="D150" s="2"/>
      <c r="E150" s="9" t="str">
        <f aca="false">IF(OR(C150="",D150=""),"",D150-C150+1)</f>
        <v/>
      </c>
      <c r="F150" s="2"/>
    </row>
    <row r="151" customFormat="false" ht="15" hidden="false" customHeight="false" outlineLevel="0" collapsed="false">
      <c r="A151" s="2"/>
      <c r="B151" s="2"/>
      <c r="C151" s="2"/>
      <c r="D151" s="2"/>
      <c r="E151" s="9" t="str">
        <f aca="false">IF(OR(C151="",D151=""),"",D151-C151+1)</f>
        <v/>
      </c>
      <c r="F151" s="2"/>
    </row>
    <row r="152" customFormat="false" ht="15" hidden="false" customHeight="false" outlineLevel="0" collapsed="false">
      <c r="A152" s="2"/>
      <c r="B152" s="2"/>
      <c r="C152" s="2"/>
      <c r="D152" s="2"/>
      <c r="E152" s="9" t="str">
        <f aca="false">IF(OR(C152="",D152=""),"",D152-C152+1)</f>
        <v/>
      </c>
      <c r="F152" s="2"/>
    </row>
    <row r="153" customFormat="false" ht="15" hidden="false" customHeight="false" outlineLevel="0" collapsed="false">
      <c r="A153" s="2"/>
      <c r="B153" s="2"/>
      <c r="C153" s="2"/>
      <c r="D153" s="2"/>
      <c r="E153" s="9" t="str">
        <f aca="false">IF(OR(C153="",D153=""),"",D153-C153+1)</f>
        <v/>
      </c>
      <c r="F153" s="2"/>
    </row>
    <row r="154" customFormat="false" ht="15" hidden="false" customHeight="false" outlineLevel="0" collapsed="false">
      <c r="A154" s="2"/>
      <c r="B154" s="2"/>
      <c r="C154" s="2"/>
      <c r="D154" s="2"/>
      <c r="E154" s="9" t="str">
        <f aca="false">IF(OR(C154="",D154=""),"",D154-C154+1)</f>
        <v/>
      </c>
      <c r="F154" s="2"/>
    </row>
    <row r="155" customFormat="false" ht="15" hidden="false" customHeight="false" outlineLevel="0" collapsed="false">
      <c r="A155" s="2"/>
      <c r="B155" s="2"/>
      <c r="C155" s="2"/>
      <c r="D155" s="2"/>
      <c r="E155" s="9" t="str">
        <f aca="false">IF(OR(C155="",D155=""),"",D155-C155+1)</f>
        <v/>
      </c>
      <c r="F155" s="2"/>
    </row>
    <row r="156" customFormat="false" ht="15" hidden="false" customHeight="false" outlineLevel="0" collapsed="false">
      <c r="A156" s="2"/>
      <c r="B156" s="2"/>
      <c r="C156" s="2"/>
      <c r="D156" s="2"/>
      <c r="E156" s="9" t="str">
        <f aca="false">IF(OR(C156="",D156=""),"",D156-C156+1)</f>
        <v/>
      </c>
      <c r="F156" s="2"/>
    </row>
    <row r="157" customFormat="false" ht="15" hidden="false" customHeight="false" outlineLevel="0" collapsed="false">
      <c r="A157" s="2"/>
      <c r="B157" s="2"/>
      <c r="C157" s="2"/>
      <c r="D157" s="2"/>
      <c r="E157" s="9" t="str">
        <f aca="false">IF(OR(C157="",D157=""),"",D157-C157+1)</f>
        <v/>
      </c>
      <c r="F157" s="2"/>
    </row>
    <row r="158" customFormat="false" ht="15" hidden="false" customHeight="false" outlineLevel="0" collapsed="false">
      <c r="A158" s="2"/>
      <c r="B158" s="2"/>
      <c r="C158" s="2"/>
      <c r="D158" s="2"/>
      <c r="E158" s="9" t="str">
        <f aca="false">IF(OR(C158="",D158=""),"",D158-C158+1)</f>
        <v/>
      </c>
      <c r="F158" s="2"/>
    </row>
    <row r="159" customFormat="false" ht="15" hidden="false" customHeight="false" outlineLevel="0" collapsed="false">
      <c r="A159" s="2"/>
      <c r="B159" s="2"/>
      <c r="C159" s="2"/>
      <c r="D159" s="2"/>
      <c r="E159" s="9" t="str">
        <f aca="false">IF(OR(C159="",D159=""),"",D159-C159+1)</f>
        <v/>
      </c>
      <c r="F159" s="2"/>
    </row>
    <row r="160" customFormat="false" ht="15" hidden="false" customHeight="false" outlineLevel="0" collapsed="false">
      <c r="A160" s="2"/>
      <c r="B160" s="2"/>
      <c r="C160" s="2"/>
      <c r="D160" s="2"/>
      <c r="E160" s="9" t="str">
        <f aca="false">IF(OR(C160="",D160=""),"",D160-C160+1)</f>
        <v/>
      </c>
      <c r="F160" s="2"/>
    </row>
    <row r="161" customFormat="false" ht="15" hidden="false" customHeight="false" outlineLevel="0" collapsed="false">
      <c r="A161" s="2"/>
      <c r="B161" s="2"/>
      <c r="C161" s="2"/>
      <c r="D161" s="2"/>
      <c r="E161" s="9" t="str">
        <f aca="false">IF(OR(C161="",D161=""),"",D161-C161+1)</f>
        <v/>
      </c>
      <c r="F161" s="2"/>
    </row>
    <row r="162" customFormat="false" ht="15" hidden="false" customHeight="false" outlineLevel="0" collapsed="false">
      <c r="A162" s="2"/>
      <c r="B162" s="2"/>
      <c r="C162" s="2"/>
      <c r="D162" s="2"/>
      <c r="E162" s="9" t="str">
        <f aca="false">IF(OR(C162="",D162=""),"",D162-C162+1)</f>
        <v/>
      </c>
      <c r="F162" s="2"/>
    </row>
    <row r="163" customFormat="false" ht="15" hidden="false" customHeight="false" outlineLevel="0" collapsed="false">
      <c r="A163" s="2"/>
      <c r="B163" s="2"/>
      <c r="C163" s="2"/>
      <c r="D163" s="2"/>
      <c r="E163" s="9" t="str">
        <f aca="false">IF(OR(C163="",D163=""),"",D163-C163+1)</f>
        <v/>
      </c>
      <c r="F163" s="2"/>
    </row>
    <row r="164" customFormat="false" ht="15" hidden="false" customHeight="false" outlineLevel="0" collapsed="false">
      <c r="A164" s="2"/>
      <c r="B164" s="2"/>
      <c r="C164" s="2"/>
      <c r="D164" s="2"/>
      <c r="E164" s="9" t="str">
        <f aca="false">IF(OR(C164="",D164=""),"",D164-C164+1)</f>
        <v/>
      </c>
      <c r="F164" s="2"/>
    </row>
    <row r="165" customFormat="false" ht="15" hidden="false" customHeight="false" outlineLevel="0" collapsed="false">
      <c r="A165" s="2"/>
      <c r="B165" s="2"/>
      <c r="C165" s="2"/>
      <c r="D165" s="2"/>
      <c r="E165" s="9" t="str">
        <f aca="false">IF(OR(C165="",D165=""),"",D165-C165+1)</f>
        <v/>
      </c>
      <c r="F165" s="2"/>
    </row>
    <row r="166" customFormat="false" ht="15" hidden="false" customHeight="false" outlineLevel="0" collapsed="false">
      <c r="A166" s="2"/>
      <c r="B166" s="2"/>
      <c r="C166" s="2"/>
      <c r="D166" s="2"/>
      <c r="E166" s="9" t="str">
        <f aca="false">IF(OR(C166="",D166=""),"",D166-C166+1)</f>
        <v/>
      </c>
      <c r="F166" s="2"/>
    </row>
    <row r="167" customFormat="false" ht="15" hidden="false" customHeight="false" outlineLevel="0" collapsed="false">
      <c r="A167" s="2"/>
      <c r="B167" s="2"/>
      <c r="C167" s="2"/>
      <c r="D167" s="2"/>
      <c r="E167" s="9" t="str">
        <f aca="false">IF(OR(C167="",D167=""),"",D167-C167+1)</f>
        <v/>
      </c>
      <c r="F167" s="2"/>
    </row>
    <row r="168" customFormat="false" ht="15" hidden="false" customHeight="false" outlineLevel="0" collapsed="false">
      <c r="A168" s="2"/>
      <c r="B168" s="2"/>
      <c r="C168" s="2"/>
      <c r="D168" s="2"/>
      <c r="E168" s="9" t="str">
        <f aca="false">IF(OR(C168="",D168=""),"",D168-C168+1)</f>
        <v/>
      </c>
      <c r="F168" s="2"/>
    </row>
    <row r="169" customFormat="false" ht="15" hidden="false" customHeight="false" outlineLevel="0" collapsed="false">
      <c r="A169" s="2"/>
      <c r="B169" s="2"/>
      <c r="C169" s="2"/>
      <c r="D169" s="2"/>
      <c r="E169" s="9" t="str">
        <f aca="false">IF(OR(C169="",D169=""),"",D169-C169+1)</f>
        <v/>
      </c>
      <c r="F169" s="2"/>
    </row>
    <row r="170" customFormat="false" ht="15" hidden="false" customHeight="false" outlineLevel="0" collapsed="false">
      <c r="A170" s="2"/>
      <c r="B170" s="2"/>
      <c r="C170" s="2"/>
      <c r="D170" s="2"/>
      <c r="E170" s="9" t="str">
        <f aca="false">IF(OR(C170="",D170=""),"",D170-C170+1)</f>
        <v/>
      </c>
      <c r="F170" s="2"/>
    </row>
    <row r="171" customFormat="false" ht="15" hidden="false" customHeight="false" outlineLevel="0" collapsed="false">
      <c r="A171" s="2"/>
      <c r="B171" s="2"/>
      <c r="C171" s="2"/>
      <c r="D171" s="2"/>
      <c r="E171" s="9" t="str">
        <f aca="false">IF(OR(C171="",D171=""),"",D171-C171+1)</f>
        <v/>
      </c>
      <c r="F171" s="2"/>
    </row>
    <row r="172" customFormat="false" ht="15" hidden="false" customHeight="false" outlineLevel="0" collapsed="false">
      <c r="A172" s="2"/>
      <c r="B172" s="2"/>
      <c r="C172" s="2"/>
      <c r="D172" s="2"/>
      <c r="E172" s="9" t="str">
        <f aca="false">IF(OR(C172="",D172=""),"",D172-C172+1)</f>
        <v/>
      </c>
      <c r="F172" s="2"/>
    </row>
    <row r="173" customFormat="false" ht="15" hidden="false" customHeight="false" outlineLevel="0" collapsed="false">
      <c r="A173" s="2"/>
      <c r="B173" s="2"/>
      <c r="C173" s="2"/>
      <c r="D173" s="2"/>
      <c r="E173" s="9" t="str">
        <f aca="false">IF(OR(C173="",D173=""),"",D173-C173+1)</f>
        <v/>
      </c>
      <c r="F173" s="2"/>
    </row>
    <row r="174" customFormat="false" ht="15" hidden="false" customHeight="false" outlineLevel="0" collapsed="false">
      <c r="A174" s="2"/>
      <c r="B174" s="2"/>
      <c r="C174" s="2"/>
      <c r="D174" s="2"/>
      <c r="E174" s="9" t="str">
        <f aca="false">IF(OR(C174="",D174=""),"",D174-C174+1)</f>
        <v/>
      </c>
      <c r="F174" s="2"/>
    </row>
    <row r="175" customFormat="false" ht="15" hidden="false" customHeight="false" outlineLevel="0" collapsed="false">
      <c r="A175" s="2"/>
      <c r="B175" s="2"/>
      <c r="C175" s="2"/>
      <c r="D175" s="2"/>
      <c r="E175" s="9" t="str">
        <f aca="false">IF(OR(C175="",D175=""),"",D175-C175+1)</f>
        <v/>
      </c>
      <c r="F175" s="2"/>
    </row>
    <row r="176" customFormat="false" ht="15" hidden="false" customHeight="false" outlineLevel="0" collapsed="false">
      <c r="A176" s="2"/>
      <c r="B176" s="2"/>
      <c r="C176" s="2"/>
      <c r="D176" s="2"/>
      <c r="E176" s="9" t="str">
        <f aca="false">IF(OR(C176="",D176=""),"",D176-C176+1)</f>
        <v/>
      </c>
      <c r="F176" s="2"/>
    </row>
    <row r="177" customFormat="false" ht="15" hidden="false" customHeight="false" outlineLevel="0" collapsed="false">
      <c r="A177" s="2"/>
      <c r="B177" s="2"/>
      <c r="C177" s="2"/>
      <c r="D177" s="2"/>
      <c r="E177" s="9" t="str">
        <f aca="false">IF(OR(C177="",D177=""),"",D177-C177+1)</f>
        <v/>
      </c>
      <c r="F177" s="2"/>
    </row>
    <row r="178" customFormat="false" ht="15" hidden="false" customHeight="false" outlineLevel="0" collapsed="false">
      <c r="A178" s="2"/>
      <c r="B178" s="2"/>
      <c r="C178" s="2"/>
      <c r="D178" s="2"/>
      <c r="E178" s="9" t="str">
        <f aca="false">IF(OR(C178="",D178=""),"",D178-C178+1)</f>
        <v/>
      </c>
      <c r="F178" s="2"/>
    </row>
    <row r="179" customFormat="false" ht="15" hidden="false" customHeight="false" outlineLevel="0" collapsed="false">
      <c r="A179" s="2"/>
      <c r="B179" s="2"/>
      <c r="C179" s="2"/>
      <c r="D179" s="2"/>
      <c r="E179" s="9" t="str">
        <f aca="false">IF(OR(C179="",D179=""),"",D179-C179+1)</f>
        <v/>
      </c>
      <c r="F179" s="2"/>
    </row>
    <row r="180" customFormat="false" ht="15" hidden="false" customHeight="false" outlineLevel="0" collapsed="false">
      <c r="A180" s="2"/>
      <c r="B180" s="2"/>
      <c r="C180" s="2"/>
      <c r="D180" s="2"/>
      <c r="E180" s="9" t="str">
        <f aca="false">IF(OR(C180="",D180=""),"",D180-C180+1)</f>
        <v/>
      </c>
      <c r="F180" s="2"/>
    </row>
    <row r="181" customFormat="false" ht="15" hidden="false" customHeight="false" outlineLevel="0" collapsed="false">
      <c r="A181" s="2"/>
      <c r="B181" s="2"/>
      <c r="C181" s="2"/>
      <c r="D181" s="2"/>
      <c r="E181" s="9" t="str">
        <f aca="false">IF(OR(C181="",D181=""),"",D181-C181+1)</f>
        <v/>
      </c>
      <c r="F181" s="2"/>
    </row>
    <row r="182" customFormat="false" ht="15" hidden="false" customHeight="false" outlineLevel="0" collapsed="false">
      <c r="A182" s="2"/>
      <c r="B182" s="2"/>
      <c r="C182" s="2"/>
      <c r="D182" s="2"/>
      <c r="E182" s="9" t="str">
        <f aca="false">IF(OR(C182="",D182=""),"",D182-C182+1)</f>
        <v/>
      </c>
      <c r="F182" s="2"/>
    </row>
    <row r="183" customFormat="false" ht="15" hidden="false" customHeight="false" outlineLevel="0" collapsed="false">
      <c r="A183" s="2"/>
      <c r="B183" s="2"/>
      <c r="C183" s="2"/>
      <c r="D183" s="2"/>
      <c r="E183" s="9" t="str">
        <f aca="false">IF(OR(C183="",D183=""),"",D183-C183+1)</f>
        <v/>
      </c>
      <c r="F183" s="2"/>
    </row>
    <row r="184" customFormat="false" ht="15" hidden="false" customHeight="false" outlineLevel="0" collapsed="false">
      <c r="A184" s="2"/>
      <c r="B184" s="2"/>
      <c r="C184" s="2"/>
      <c r="D184" s="2"/>
      <c r="E184" s="9" t="str">
        <f aca="false">IF(OR(C184="",D184=""),"",D184-C184+1)</f>
        <v/>
      </c>
      <c r="F184" s="2"/>
    </row>
    <row r="185" customFormat="false" ht="15" hidden="false" customHeight="false" outlineLevel="0" collapsed="false">
      <c r="A185" s="2"/>
      <c r="B185" s="2"/>
      <c r="C185" s="2"/>
      <c r="D185" s="2"/>
      <c r="E185" s="9" t="str">
        <f aca="false">IF(OR(C185="",D185=""),"",D185-C185+1)</f>
        <v/>
      </c>
      <c r="F185" s="2"/>
    </row>
    <row r="186" customFormat="false" ht="15" hidden="false" customHeight="false" outlineLevel="0" collapsed="false">
      <c r="A186" s="2"/>
      <c r="B186" s="2"/>
      <c r="C186" s="2"/>
      <c r="D186" s="2"/>
      <c r="E186" s="9" t="str">
        <f aca="false">IF(OR(C186="",D186=""),"",D186-C186+1)</f>
        <v/>
      </c>
      <c r="F186" s="2"/>
    </row>
    <row r="187" customFormat="false" ht="15" hidden="false" customHeight="false" outlineLevel="0" collapsed="false">
      <c r="A187" s="2"/>
      <c r="B187" s="2"/>
      <c r="C187" s="2"/>
      <c r="D187" s="2"/>
      <c r="E187" s="9" t="str">
        <f aca="false">IF(OR(C187="",D187=""),"",D187-C187+1)</f>
        <v/>
      </c>
      <c r="F187" s="2"/>
    </row>
    <row r="188" customFormat="false" ht="15" hidden="false" customHeight="false" outlineLevel="0" collapsed="false">
      <c r="A188" s="2"/>
      <c r="B188" s="2"/>
      <c r="C188" s="2"/>
      <c r="D188" s="2"/>
      <c r="E188" s="9" t="str">
        <f aca="false">IF(OR(C188="",D188=""),"",D188-C188+1)</f>
        <v/>
      </c>
      <c r="F188" s="2"/>
    </row>
    <row r="189" customFormat="false" ht="15" hidden="false" customHeight="false" outlineLevel="0" collapsed="false">
      <c r="A189" s="2"/>
      <c r="B189" s="2"/>
      <c r="C189" s="2"/>
      <c r="D189" s="2"/>
      <c r="E189" s="9" t="str">
        <f aca="false">IF(OR(C189="",D189=""),"",D189-C189+1)</f>
        <v/>
      </c>
      <c r="F189" s="2"/>
    </row>
    <row r="190" customFormat="false" ht="15" hidden="false" customHeight="false" outlineLevel="0" collapsed="false">
      <c r="A190" s="2"/>
      <c r="B190" s="2"/>
      <c r="C190" s="2"/>
      <c r="D190" s="2"/>
      <c r="E190" s="9" t="str">
        <f aca="false">IF(OR(C190="",D190=""),"",D190-C190+1)</f>
        <v/>
      </c>
      <c r="F190" s="2"/>
    </row>
    <row r="191" customFormat="false" ht="15" hidden="false" customHeight="false" outlineLevel="0" collapsed="false">
      <c r="A191" s="2"/>
      <c r="B191" s="2"/>
      <c r="C191" s="2"/>
      <c r="D191" s="2"/>
      <c r="E191" s="9" t="str">
        <f aca="false">IF(OR(C191="",D191=""),"",D191-C191+1)</f>
        <v/>
      </c>
      <c r="F191" s="2"/>
    </row>
    <row r="192" customFormat="false" ht="15" hidden="false" customHeight="false" outlineLevel="0" collapsed="false">
      <c r="A192" s="2"/>
      <c r="B192" s="2"/>
      <c r="C192" s="2"/>
      <c r="D192" s="2"/>
      <c r="E192" s="9" t="str">
        <f aca="false">IF(OR(C192="",D192=""),"",D192-C192+1)</f>
        <v/>
      </c>
      <c r="F192" s="2"/>
    </row>
    <row r="193" customFormat="false" ht="15" hidden="false" customHeight="false" outlineLevel="0" collapsed="false">
      <c r="A193" s="2"/>
      <c r="B193" s="2"/>
      <c r="C193" s="2"/>
      <c r="D193" s="2"/>
      <c r="E193" s="9" t="str">
        <f aca="false">IF(OR(C193="",D193=""),"",D193-C193+1)</f>
        <v/>
      </c>
      <c r="F193" s="2"/>
    </row>
    <row r="194" customFormat="false" ht="15" hidden="false" customHeight="false" outlineLevel="0" collapsed="false">
      <c r="A194" s="2"/>
      <c r="B194" s="2"/>
      <c r="C194" s="2"/>
      <c r="D194" s="2"/>
      <c r="E194" s="9" t="str">
        <f aca="false">IF(OR(C194="",D194=""),"",D194-C194+1)</f>
        <v/>
      </c>
      <c r="F194" s="2"/>
    </row>
    <row r="195" customFormat="false" ht="15" hidden="false" customHeight="false" outlineLevel="0" collapsed="false">
      <c r="A195" s="2"/>
      <c r="B195" s="2"/>
      <c r="C195" s="2"/>
      <c r="D195" s="2"/>
      <c r="E195" s="9" t="str">
        <f aca="false">IF(OR(C195="",D195=""),"",D195-C195+1)</f>
        <v/>
      </c>
      <c r="F195" s="2"/>
    </row>
    <row r="196" customFormat="false" ht="15" hidden="false" customHeight="false" outlineLevel="0" collapsed="false">
      <c r="A196" s="2"/>
      <c r="B196" s="2"/>
      <c r="C196" s="2"/>
      <c r="D196" s="2"/>
      <c r="E196" s="9" t="str">
        <f aca="false">IF(OR(C196="",D196=""),"",D196-C196+1)</f>
        <v/>
      </c>
      <c r="F196" s="2"/>
    </row>
    <row r="197" customFormat="false" ht="15" hidden="false" customHeight="false" outlineLevel="0" collapsed="false">
      <c r="A197" s="2"/>
      <c r="B197" s="2"/>
      <c r="C197" s="2"/>
      <c r="D197" s="2"/>
      <c r="E197" s="9" t="str">
        <f aca="false">IF(OR(C197="",D197=""),"",D197-C197+1)</f>
        <v/>
      </c>
      <c r="F197" s="2"/>
    </row>
    <row r="198" customFormat="false" ht="15" hidden="false" customHeight="false" outlineLevel="0" collapsed="false">
      <c r="A198" s="2"/>
      <c r="B198" s="2"/>
      <c r="C198" s="2"/>
      <c r="D198" s="2"/>
      <c r="E198" s="9" t="str">
        <f aca="false">IF(OR(C198="",D198=""),"",D198-C198+1)</f>
        <v/>
      </c>
      <c r="F198" s="2"/>
    </row>
    <row r="199" customFormat="false" ht="15" hidden="false" customHeight="false" outlineLevel="0" collapsed="false">
      <c r="A199" s="2"/>
      <c r="B199" s="2"/>
      <c r="C199" s="2"/>
      <c r="D199" s="2"/>
      <c r="E199" s="9" t="str">
        <f aca="false">IF(OR(C199="",D199=""),"",D199-C199+1)</f>
        <v/>
      </c>
      <c r="F199" s="2"/>
    </row>
    <row r="200" customFormat="false" ht="15" hidden="false" customHeight="false" outlineLevel="0" collapsed="false">
      <c r="A200" s="2"/>
      <c r="B200" s="2"/>
      <c r="C200" s="2"/>
      <c r="D200" s="2"/>
      <c r="E200" s="9" t="str">
        <f aca="false">IF(OR(C200="",D200=""),"",D200-C200+1)</f>
        <v/>
      </c>
      <c r="F200" s="2"/>
    </row>
    <row r="201" customFormat="false" ht="15" hidden="false" customHeight="false" outlineLevel="0" collapsed="false">
      <c r="A201" s="2"/>
      <c r="B201" s="2"/>
      <c r="C201" s="2"/>
      <c r="D201" s="2"/>
      <c r="E201" s="9" t="str">
        <f aca="false">IF(OR(C201="",D201=""),"",D201-C201+1)</f>
        <v/>
      </c>
      <c r="F201" s="2"/>
    </row>
  </sheetData>
  <dataValidations count="2">
    <dataValidation allowBlank="true" error="Pick a value from the list (see the Lists sheet)." errorStyle="stop" errorTitle="Not in the list" operator="between" showDropDown="false" showErrorMessage="false" showInputMessage="false" sqref="A2:A201" type="list">
      <formula1>Tracks!$A$2:$A$41</formula1>
      <formula2>0</formula2>
    </dataValidation>
    <dataValidation allowBlank="true" error="Pick a value from the list (see the Lists sheet)." errorStyle="stop" errorTitle="Not in the list" operator="between" showDropDown="false" showErrorMessage="false" showInputMessage="false" sqref="B2:B201" type="list">
      <formula1>Lists!$B$2:$B$8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6"/>
  </cols>
  <sheetData>
    <row r="1" customFormat="false" ht="15" hidden="false" customHeight="false" outlineLevel="0" collapsed="false">
      <c r="A1" s="15" t="s">
        <v>47</v>
      </c>
      <c r="B1" s="15" t="s">
        <v>38</v>
      </c>
      <c r="C1" s="15" t="s">
        <v>39</v>
      </c>
      <c r="D1" s="15" t="s">
        <v>40</v>
      </c>
      <c r="E1" s="15" t="s">
        <v>41</v>
      </c>
      <c r="F1" s="15" t="s">
        <v>42</v>
      </c>
      <c r="G1" s="15" t="s">
        <v>43</v>
      </c>
      <c r="H1" s="15" t="s">
        <v>44</v>
      </c>
    </row>
    <row r="2" customFormat="false" ht="15" hidden="false" customHeight="false" outlineLevel="0" collapsed="false">
      <c r="A2" s="2" t="s">
        <v>83</v>
      </c>
      <c r="B2" s="2" t="s">
        <v>55</v>
      </c>
      <c r="C2" s="2" t="s">
        <v>56</v>
      </c>
      <c r="D2" s="2" t="s">
        <v>57</v>
      </c>
      <c r="E2" s="2" t="s">
        <v>58</v>
      </c>
      <c r="F2" s="2" t="s">
        <v>113</v>
      </c>
      <c r="G2" s="2" t="s">
        <v>186</v>
      </c>
      <c r="H2" s="2" t="s">
        <v>69</v>
      </c>
    </row>
    <row r="3" customFormat="false" ht="15" hidden="false" customHeight="false" outlineLevel="0" collapsed="false">
      <c r="A3" s="2" t="s">
        <v>84</v>
      </c>
      <c r="B3" s="2" t="s">
        <v>64</v>
      </c>
      <c r="C3" s="2" t="s">
        <v>90</v>
      </c>
      <c r="D3" s="2" t="s">
        <v>107</v>
      </c>
      <c r="E3" s="2" t="s">
        <v>66</v>
      </c>
      <c r="F3" s="2" t="s">
        <v>67</v>
      </c>
      <c r="G3" s="2" t="s">
        <v>68</v>
      </c>
      <c r="H3" s="2" t="s">
        <v>61</v>
      </c>
    </row>
    <row r="4" customFormat="false" ht="15" hidden="false" customHeight="false" outlineLevel="0" collapsed="false">
      <c r="A4" s="2" t="s">
        <v>85</v>
      </c>
      <c r="B4" s="2" t="s">
        <v>94</v>
      </c>
      <c r="C4" s="2" t="s">
        <v>65</v>
      </c>
      <c r="D4" s="2" t="s">
        <v>74</v>
      </c>
      <c r="E4" s="2" t="s">
        <v>75</v>
      </c>
      <c r="F4" s="2" t="s">
        <v>76</v>
      </c>
      <c r="G4" s="2" t="s">
        <v>60</v>
      </c>
      <c r="H4" s="2" t="s">
        <v>77</v>
      </c>
    </row>
    <row r="5" customFormat="false" ht="15" hidden="false" customHeight="false" outlineLevel="0" collapsed="false">
      <c r="A5" s="2" t="s">
        <v>86</v>
      </c>
      <c r="B5" s="2" t="s">
        <v>72</v>
      </c>
      <c r="C5" s="2" t="s">
        <v>91</v>
      </c>
      <c r="D5" s="2" t="s">
        <v>108</v>
      </c>
      <c r="E5" s="2" t="s">
        <v>187</v>
      </c>
      <c r="F5" s="2" t="s">
        <v>114</v>
      </c>
    </row>
    <row r="6" customFormat="false" ht="15" hidden="false" customHeight="false" outlineLevel="0" collapsed="false">
      <c r="A6" s="2" t="s">
        <v>87</v>
      </c>
      <c r="B6" s="2" t="s">
        <v>95</v>
      </c>
      <c r="C6" s="2" t="s">
        <v>73</v>
      </c>
      <c r="D6" s="2" t="s">
        <v>109</v>
      </c>
      <c r="E6" s="2" t="s">
        <v>188</v>
      </c>
      <c r="F6" s="2" t="s">
        <v>59</v>
      </c>
    </row>
    <row r="7" customFormat="false" ht="15" hidden="false" customHeight="false" outlineLevel="0" collapsed="false">
      <c r="A7" s="2" t="s">
        <v>88</v>
      </c>
      <c r="B7" s="2" t="s">
        <v>96</v>
      </c>
      <c r="D7" s="2" t="s">
        <v>110</v>
      </c>
      <c r="E7" s="2" t="s">
        <v>189</v>
      </c>
      <c r="F7" s="2" t="s">
        <v>115</v>
      </c>
    </row>
    <row r="8" customFormat="false" ht="15" hidden="false" customHeight="false" outlineLevel="0" collapsed="false">
      <c r="A8" s="2" t="s">
        <v>123</v>
      </c>
      <c r="B8" s="2" t="s">
        <v>97</v>
      </c>
      <c r="D8" s="2" t="s">
        <v>111</v>
      </c>
    </row>
    <row r="9" customFormat="false" ht="15" hidden="false" customHeight="false" outlineLevel="0" collapsed="false">
      <c r="D9" s="2" t="s">
        <v>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2026-10-17T23:46:05Z</dcterms:created>
  <dc:creator>openpyxl</dc:creator>
  <dc:description/>
  <dc:language>en-US</dc:language>
  <cp:lastModifiedBy/>
  <dcterms:modified xsi:type="dcterms:W3CDTF">2026-10-17T23:46:05Z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